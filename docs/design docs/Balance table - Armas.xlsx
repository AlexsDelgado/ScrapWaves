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 usage" sheetId="1" r:id="rId5"/>
    <sheet state="visible" name="Weapon stats" sheetId="2" r:id="rId6"/>
  </sheets>
  <definedNames/>
  <calcPr/>
</workbook>
</file>

<file path=xl/sharedStrings.xml><?xml version="1.0" encoding="utf-8"?>
<sst xmlns="http://schemas.openxmlformats.org/spreadsheetml/2006/main" count="432" uniqueCount="114">
  <si>
    <t>Flamethrower</t>
  </si>
  <si>
    <t>Rocket launcher</t>
  </si>
  <si>
    <t>Mortar</t>
  </si>
  <si>
    <t>Autocannon</t>
  </si>
  <si>
    <t>Rotating Blades</t>
  </si>
  <si>
    <t>Flame A</t>
  </si>
  <si>
    <t>Flame B</t>
  </si>
  <si>
    <t>Rocket A</t>
  </si>
  <si>
    <t>Rocket B</t>
  </si>
  <si>
    <t>Mortar A</t>
  </si>
  <si>
    <t>Mortar B</t>
  </si>
  <si>
    <t>Auto A</t>
  </si>
  <si>
    <t>Auto B</t>
  </si>
  <si>
    <t>Blades A</t>
  </si>
  <si>
    <t>Blades B</t>
  </si>
  <si>
    <t>Sheet metal</t>
  </si>
  <si>
    <t>x</t>
  </si>
  <si>
    <t>X</t>
  </si>
  <si>
    <t>y</t>
  </si>
  <si>
    <t>XX</t>
  </si>
  <si>
    <t>Metal pipes</t>
  </si>
  <si>
    <t>Gears</t>
  </si>
  <si>
    <t>Jellified fuel</t>
  </si>
  <si>
    <t>Plastic explosives</t>
  </si>
  <si>
    <t>Wiring</t>
  </si>
  <si>
    <t>X=Material principal</t>
  </si>
  <si>
    <t>x=Material secundario</t>
  </si>
  <si>
    <t>y=Material terciario</t>
  </si>
  <si>
    <t>XX=Material principal extra</t>
  </si>
  <si>
    <t>Cantidades/Nivel</t>
  </si>
  <si>
    <t>Base</t>
  </si>
  <si>
    <t>Total principal</t>
  </si>
  <si>
    <t>Tinkering</t>
  </si>
  <si>
    <t>Tinkering avanzado</t>
  </si>
  <si>
    <t>Multiplicador principal</t>
  </si>
  <si>
    <t>Total secundario</t>
  </si>
  <si>
    <t>Multiplicador secundario</t>
  </si>
  <si>
    <t>Total terciario</t>
  </si>
  <si>
    <t>Multiplicador terciario</t>
  </si>
  <si>
    <t>Total prin. extra</t>
  </si>
  <si>
    <t>Multiplicator prin. extra</t>
  </si>
  <si>
    <t>Basic</t>
  </si>
  <si>
    <t>Liquid nitrogen</t>
  </si>
  <si>
    <t>Scales with (effectiveness%)</t>
  </si>
  <si>
    <t>Notes</t>
  </si>
  <si>
    <t>"eff%" representa la efectividad de un escalado: si es 50%, por ejemplo, el multiplicador se multiplica por 0.5 antes de ser aplicado a la estadistica. Si no hay multiplicador, es porque el multiplicador es 1.</t>
  </si>
  <si>
    <t>Damage</t>
  </si>
  <si>
    <t>Total</t>
  </si>
  <si>
    <t>Damage multiplier
Elite damage multiplier*</t>
  </si>
  <si>
    <t>Damage per tick
*conditional</t>
  </si>
  <si>
    <t>Added</t>
  </si>
  <si>
    <t>Auto mode range (m)</t>
  </si>
  <si>
    <t>Projectile area size (50%)</t>
  </si>
  <si>
    <t>Manual range (m)</t>
  </si>
  <si>
    <t>Projectile area size</t>
  </si>
  <si>
    <t>Manual ammo</t>
  </si>
  <si>
    <t>Ammo multiplier</t>
  </si>
  <si>
    <t>Ability radius (m)</t>
  </si>
  <si>
    <t>Ability damage</t>
  </si>
  <si>
    <t>Damage multiplier
Elite damage multiplier*
Ability damage multiplier</t>
  </si>
  <si>
    <t>*conditional</t>
  </si>
  <si>
    <t>Ability cooldown (s)</t>
  </si>
  <si>
    <t>Ability cooldown reduction</t>
  </si>
  <si>
    <t>Critical chance %</t>
  </si>
  <si>
    <t>-</t>
  </si>
  <si>
    <t>Critical damage %</t>
  </si>
  <si>
    <t>Critical damage</t>
  </si>
  <si>
    <t>Knockback strength</t>
  </si>
  <si>
    <t>Knockback</t>
  </si>
  <si>
    <t>Upgrade-specific stats</t>
  </si>
  <si>
    <t>Puddle radius (m)</t>
  </si>
  <si>
    <t>Freeze duration</t>
  </si>
  <si>
    <t>Puddle radius: Projectile area size</t>
  </si>
  <si>
    <t>Puddle duration (s)</t>
  </si>
  <si>
    <t>Rocket Launcher</t>
  </si>
  <si>
    <t>Kinetic explosion</t>
  </si>
  <si>
    <t>Fragmentation cap</t>
  </si>
  <si>
    <t>Scales with</t>
  </si>
  <si>
    <t>Auto explosion size</t>
  </si>
  <si>
    <t>Manual explosion size</t>
  </si>
  <si>
    <t>Attack speed</t>
  </si>
  <si>
    <t>Attack speed multiplier</t>
  </si>
  <si>
    <t>Ability explosion size</t>
  </si>
  <si>
    <t>Critical Chance</t>
  </si>
  <si>
    <t>Knockback (50%)</t>
  </si>
  <si>
    <t>Debuff duration</t>
  </si>
  <si>
    <t>Cone size multiplier</t>
  </si>
  <si>
    <t>Debuff damage multiplier</t>
  </si>
  <si>
    <t>Grapeshot</t>
  </si>
  <si>
    <t>Multi-charged shells</t>
  </si>
  <si>
    <t>Auto attack speed</t>
  </si>
  <si>
    <t>Manual attack speed</t>
  </si>
  <si>
    <t>Damage per each of the spawned shells 
*conditional</t>
  </si>
  <si>
    <t>Projectile explosions</t>
  </si>
  <si>
    <t>Extra projectile number</t>
  </si>
  <si>
    <t>Ability projectiles per second</t>
  </si>
  <si>
    <t>Automatic Cannon</t>
  </si>
  <si>
    <t>Continuous Fire</t>
  </si>
  <si>
    <t>Head hunter</t>
  </si>
  <si>
    <t>damage per bullet
*conditional</t>
  </si>
  <si>
    <t>basic: bursts per second
cont. fire/head hunter: bullets per second</t>
  </si>
  <si>
    <t>Critical Damage</t>
  </si>
  <si>
    <t>Ability projetiles per second</t>
  </si>
  <si>
    <t>Weak point multiplier</t>
  </si>
  <si>
    <t>Rotating blade</t>
  </si>
  <si>
    <t>Multi-blade</t>
  </si>
  <si>
    <t>Atomic sharpness</t>
  </si>
  <si>
    <t>Auto blade length (m)</t>
  </si>
  <si>
    <t>the blade orbits with it's base .25m away from the player</t>
  </si>
  <si>
    <t>Auto blade rotation per second</t>
  </si>
  <si>
    <t>Ability length (m)</t>
  </si>
  <si>
    <t>50% extra in auto mode</t>
  </si>
  <si>
    <t>0</t>
  </si>
  <si>
    <t>Extra blades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</si>
</sst>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rgb="FFFFFFFF"/>
      <name val="Arial"/>
      <scheme val="minor"/>
    </font>
    <font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76A5AF"/>
        <bgColor rgb="FF76A5A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3" fillId="0" fontId="1" numFmtId="0" xfId="0" applyBorder="1" applyFont="1"/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2" fillId="8" fontId="1" numFmtId="0" xfId="0" applyAlignment="1" applyBorder="1" applyFont="1">
      <alignment horizontal="center" readingOrder="0" vertical="center"/>
    </xf>
    <xf borderId="1" fillId="9" fontId="1" numFmtId="0" xfId="0" applyBorder="1" applyFont="1"/>
    <xf borderId="2" fillId="8" fontId="1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readingOrder="0"/>
    </xf>
    <xf borderId="1" fillId="11" fontId="1" numFmtId="0" xfId="0" applyBorder="1" applyFill="1" applyFont="1"/>
    <xf borderId="1" fillId="11" fontId="1" numFmtId="0" xfId="0" applyAlignment="1" applyBorder="1" applyFont="1">
      <alignment readingOrder="0"/>
    </xf>
    <xf borderId="4" fillId="12" fontId="1" numFmtId="0" xfId="0" applyAlignment="1" applyBorder="1" applyFill="1" applyFont="1">
      <alignment horizontal="center" readingOrder="0"/>
    </xf>
    <xf borderId="4" fillId="13" fontId="1" numFmtId="0" xfId="0" applyAlignment="1" applyBorder="1" applyFill="1" applyFont="1">
      <alignment horizontal="center" readingOrder="0"/>
    </xf>
    <xf borderId="8" fillId="4" fontId="1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8" fillId="7" fontId="1" numFmtId="0" xfId="0" applyAlignment="1" applyBorder="1" applyFont="1">
      <alignment horizontal="center" readingOrder="0"/>
    </xf>
    <xf borderId="2" fillId="14" fontId="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1" fillId="13" fontId="1" numFmtId="0" xfId="0" applyBorder="1" applyFont="1"/>
    <xf borderId="1" fillId="13" fontId="1" numFmtId="0" xfId="0" applyAlignment="1" applyBorder="1" applyFont="1">
      <alignment horizontal="center" readingOrder="0"/>
    </xf>
    <xf borderId="4" fillId="4" fontId="4" numFmtId="0" xfId="0" applyAlignment="1" applyBorder="1" applyFont="1">
      <alignment vertical="bottom"/>
    </xf>
    <xf borderId="6" fillId="4" fontId="1" numFmtId="0" xfId="0" applyBorder="1" applyFont="1"/>
    <xf borderId="6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/>
    </xf>
    <xf borderId="4" fillId="7" fontId="4" numFmtId="0" xfId="0" applyAlignment="1" applyBorder="1" applyFont="1">
      <alignment vertical="bottom"/>
    </xf>
    <xf borderId="6" fillId="7" fontId="1" numFmtId="0" xfId="0" applyBorder="1" applyFont="1"/>
    <xf borderId="6" fillId="7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2" fillId="15" fontId="1" numFmtId="0" xfId="0" applyAlignment="1" applyBorder="1" applyFill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readingOrder="0"/>
    </xf>
    <xf borderId="1" fillId="16" fontId="1" numFmtId="0" xfId="0" applyAlignment="1" applyBorder="1" applyFill="1" applyFont="1">
      <alignment readingOrder="0"/>
    </xf>
    <xf borderId="1" fillId="16" fontId="1" numFmtId="0" xfId="0" applyBorder="1" applyFont="1"/>
    <xf borderId="4" fillId="16" fontId="1" numFmtId="0" xfId="0" applyBorder="1" applyFont="1"/>
    <xf borderId="11" fillId="11" fontId="4" numFmtId="0" xfId="0" applyAlignment="1" applyBorder="1" applyFont="1">
      <alignment vertical="bottom"/>
    </xf>
    <xf borderId="12" fillId="11" fontId="1" numFmtId="0" xfId="0" applyBorder="1" applyFont="1"/>
    <xf borderId="6" fillId="11" fontId="1" numFmtId="0" xfId="0" applyBorder="1" applyFont="1"/>
    <xf borderId="4" fillId="11" fontId="1" numFmtId="0" xfId="0" applyBorder="1" applyFont="1"/>
    <xf borderId="11" fillId="17" fontId="4" numFmtId="0" xfId="0" applyAlignment="1" applyBorder="1" applyFill="1" applyFont="1">
      <alignment vertical="bottom"/>
    </xf>
    <xf borderId="12" fillId="17" fontId="1" numFmtId="0" xfId="0" applyBorder="1" applyFont="1"/>
    <xf borderId="6" fillId="17" fontId="1" numFmtId="0" xfId="0" applyBorder="1" applyFont="1"/>
    <xf borderId="1" fillId="17" fontId="1" numFmtId="0" xfId="0" applyBorder="1" applyFont="1"/>
    <xf borderId="2" fillId="18" fontId="1" numFmtId="0" xfId="0" applyAlignment="1" applyBorder="1" applyFill="1" applyFont="1">
      <alignment horizontal="left" readingOrder="0" shrinkToFit="0" vertical="center" wrapText="1"/>
    </xf>
    <xf borderId="1" fillId="19" fontId="1" numFmtId="0" xfId="0" applyAlignment="1" applyBorder="1" applyFill="1" applyFont="1">
      <alignment horizontal="center" readingOrder="0"/>
    </xf>
    <xf borderId="1" fillId="20" fontId="1" numFmtId="0" xfId="0" applyBorder="1" applyFill="1" applyFont="1"/>
    <xf borderId="1" fillId="20" fontId="1" numFmtId="0" xfId="0" applyAlignment="1" applyBorder="1" applyFont="1">
      <alignment readingOrder="0"/>
    </xf>
    <xf borderId="4" fillId="20" fontId="1" numFmtId="0" xfId="0" applyAlignment="1" applyBorder="1" applyFont="1">
      <alignment readingOrder="0"/>
    </xf>
    <xf borderId="4" fillId="9" fontId="4" numFmtId="0" xfId="0" applyAlignment="1" applyBorder="1" applyFont="1">
      <alignment vertical="bottom"/>
    </xf>
    <xf borderId="6" fillId="9" fontId="1" numFmtId="0" xfId="0" applyBorder="1" applyFont="1"/>
    <xf borderId="6" fillId="9" fontId="1" numFmtId="0" xfId="0" applyAlignment="1" applyBorder="1" applyFont="1">
      <alignment readingOrder="0"/>
    </xf>
    <xf borderId="4" fillId="9" fontId="1" numFmtId="0" xfId="0" applyAlignment="1" applyBorder="1" applyFont="1">
      <alignment readingOrder="0"/>
    </xf>
    <xf borderId="4" fillId="21" fontId="4" numFmtId="0" xfId="0" applyAlignment="1" applyBorder="1" applyFill="1" applyFont="1">
      <alignment vertical="bottom"/>
    </xf>
    <xf borderId="6" fillId="21" fontId="1" numFmtId="0" xfId="0" applyBorder="1" applyFont="1"/>
    <xf borderId="6" fillId="21" fontId="1" numFmtId="0" xfId="0" applyAlignment="1" applyBorder="1" applyFont="1">
      <alignment readingOrder="0"/>
    </xf>
    <xf borderId="1" fillId="21" fontId="1" numFmtId="0" xfId="0" applyAlignment="1" applyBorder="1" applyFont="1">
      <alignment readingOrder="0"/>
    </xf>
    <xf borderId="2" fillId="19" fontId="1" numFmtId="0" xfId="0" applyAlignment="1" applyBorder="1" applyFont="1">
      <alignment horizontal="center" readingOrder="0" shrinkToFit="0" vertical="center" wrapText="1"/>
    </xf>
    <xf borderId="4" fillId="11" fontId="4" numFmtId="0" xfId="0" applyAlignment="1" applyBorder="1" applyFont="1">
      <alignment vertical="bottom"/>
    </xf>
    <xf borderId="4" fillId="17" fontId="4" numFmtId="0" xfId="0" applyAlignment="1" applyBorder="1" applyFont="1">
      <alignment vertical="bottom"/>
    </xf>
    <xf borderId="2" fillId="22" fontId="1" numFmtId="0" xfId="0" applyAlignment="1" applyBorder="1" applyFill="1" applyFont="1">
      <alignment horizontal="left" readingOrder="0" shrinkToFit="0" vertical="center" wrapText="1"/>
    </xf>
    <xf borderId="2" fillId="22" fontId="1" numFmtId="0" xfId="0" applyAlignment="1" applyBorder="1" applyFont="1">
      <alignment horizontal="left" shrinkToFit="0" vertical="center" wrapText="1"/>
    </xf>
    <xf borderId="8" fillId="9" fontId="4" numFmtId="0" xfId="0" applyAlignment="1" applyBorder="1" applyFont="1">
      <alignment vertical="bottom"/>
    </xf>
    <xf borderId="10" fillId="9" fontId="1" numFmtId="0" xfId="0" applyBorder="1" applyFont="1"/>
    <xf borderId="11" fillId="7" fontId="1" numFmtId="0" xfId="0" applyAlignment="1" applyBorder="1" applyFont="1">
      <alignment horizontal="center" readingOrder="0"/>
    </xf>
    <xf borderId="12" fillId="0" fontId="2" numFmtId="0" xfId="0" applyBorder="1" applyFont="1"/>
    <xf borderId="1" fillId="14" fontId="1" numFmtId="0" xfId="0" applyBorder="1" applyFont="1"/>
    <xf borderId="2" fillId="23" fontId="4" numFmtId="0" xfId="0" applyAlignment="1" applyBorder="1" applyFill="1" applyFont="1">
      <alignment horizontal="center" readingOrder="0" shrinkToFit="0" vertical="center" wrapText="1"/>
    </xf>
    <xf borderId="1" fillId="23" fontId="1" numFmtId="0" xfId="0" applyAlignment="1" applyBorder="1" applyFont="1">
      <alignment horizontal="center" readingOrder="0"/>
    </xf>
    <xf borderId="2" fillId="11" fontId="4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readingOrder="0"/>
    </xf>
    <xf borderId="1" fillId="17" fontId="1" numFmtId="0" xfId="0" applyAlignment="1" applyBorder="1" applyFont="1">
      <alignment readingOrder="0"/>
    </xf>
    <xf borderId="1" fillId="24" fontId="1" numFmtId="0" xfId="0" applyAlignment="1" applyBorder="1" applyFill="1" applyFont="1">
      <alignment horizontal="center" readingOrder="0"/>
    </xf>
    <xf borderId="1" fillId="9" fontId="1" numFmtId="0" xfId="0" applyAlignment="1" applyBorder="1" applyFont="1">
      <alignment horizontal="center" readingOrder="0"/>
    </xf>
    <xf borderId="1" fillId="21" fontId="1" numFmtId="0" xfId="0" applyBorder="1" applyFont="1"/>
    <xf borderId="2" fillId="24" fontId="4" numFmtId="0" xfId="0" applyAlignment="1" applyBorder="1" applyFont="1">
      <alignment horizontal="center" readingOrder="0" shrinkToFit="0" vertical="center" wrapText="1"/>
    </xf>
    <xf borderId="1" fillId="15" fontId="4" numFmtId="0" xfId="0" applyAlignment="1" applyBorder="1" applyFont="1">
      <alignment horizontal="center" vertical="bottom"/>
    </xf>
    <xf borderId="1" fillId="16" fontId="4" numFmtId="0" xfId="0" applyAlignment="1" applyBorder="1" applyFont="1">
      <alignment horizontal="right" readingOrder="0" vertical="bottom"/>
    </xf>
    <xf borderId="1" fillId="16" fontId="4" numFmtId="0" xfId="0" applyAlignment="1" applyBorder="1" applyFont="1">
      <alignment horizontal="right" vertical="bottom"/>
    </xf>
    <xf borderId="4" fillId="16" fontId="4" numFmtId="0" xfId="0" applyAlignment="1" applyBorder="1" applyFont="1">
      <alignment horizontal="right" vertical="bottom"/>
    </xf>
    <xf borderId="12" fillId="11" fontId="4" numFmtId="0" xfId="0" applyAlignment="1" applyBorder="1" applyFont="1">
      <alignment vertical="bottom"/>
    </xf>
    <xf borderId="6" fillId="11" fontId="4" numFmtId="0" xfId="0" applyAlignment="1" applyBorder="1" applyFont="1">
      <alignment horizontal="right" vertical="bottom"/>
    </xf>
    <xf borderId="1" fillId="11" fontId="4" numFmtId="0" xfId="0" applyAlignment="1" applyBorder="1" applyFont="1">
      <alignment horizontal="right" vertical="bottom"/>
    </xf>
    <xf borderId="4" fillId="11" fontId="4" numFmtId="0" xfId="0" applyAlignment="1" applyBorder="1" applyFont="1">
      <alignment horizontal="right" vertical="bottom"/>
    </xf>
    <xf borderId="12" fillId="17" fontId="4" numFmtId="0" xfId="0" applyAlignment="1" applyBorder="1" applyFont="1">
      <alignment vertical="bottom"/>
    </xf>
    <xf borderId="6" fillId="17" fontId="4" numFmtId="0" xfId="0" applyAlignment="1" applyBorder="1" applyFont="1">
      <alignment horizontal="right" vertical="bottom"/>
    </xf>
    <xf borderId="1" fillId="17" fontId="4" numFmtId="0" xfId="0" applyAlignment="1" applyBorder="1" applyFont="1">
      <alignment horizontal="right" vertical="bottom"/>
    </xf>
    <xf borderId="1" fillId="19" fontId="4" numFmtId="0" xfId="0" applyAlignment="1" applyBorder="1" applyFont="1">
      <alignment horizontal="center" vertical="bottom"/>
    </xf>
    <xf borderId="1" fillId="20" fontId="4" numFmtId="0" xfId="0" applyAlignment="1" applyBorder="1" applyFont="1">
      <alignment vertical="bottom"/>
    </xf>
    <xf borderId="1" fillId="20" fontId="4" numFmtId="0" xfId="0" applyAlignment="1" applyBorder="1" applyFont="1">
      <alignment horizontal="right" readingOrder="0" vertical="bottom"/>
    </xf>
    <xf borderId="6" fillId="9" fontId="4" numFmtId="0" xfId="0" applyAlignment="1" applyBorder="1" applyFont="1">
      <alignment vertical="bottom"/>
    </xf>
    <xf borderId="6" fillId="9" fontId="4" numFmtId="0" xfId="0" applyAlignment="1" applyBorder="1" applyFont="1">
      <alignment horizontal="right" readingOrder="0" vertical="bottom"/>
    </xf>
    <xf borderId="6" fillId="21" fontId="4" numFmtId="0" xfId="0" applyAlignment="1" applyBorder="1" applyFont="1">
      <alignment vertical="bottom"/>
    </xf>
    <xf borderId="6" fillId="21" fontId="4" numFmtId="0" xfId="0" applyAlignment="1" applyBorder="1" applyFont="1">
      <alignment horizontal="right" readingOrder="0" vertical="bottom"/>
    </xf>
    <xf borderId="1" fillId="21" fontId="4" numFmtId="0" xfId="0" applyAlignment="1" applyBorder="1" applyFont="1">
      <alignment horizontal="right" readingOrder="0" vertical="bottom"/>
    </xf>
    <xf borderId="6" fillId="11" fontId="4" numFmtId="0" xfId="0" applyAlignment="1" applyBorder="1" applyFont="1">
      <alignment vertical="bottom"/>
    </xf>
    <xf borderId="6" fillId="17" fontId="4" numFmtId="0" xfId="0" applyAlignment="1" applyBorder="1" applyFont="1">
      <alignment vertical="bottom"/>
    </xf>
    <xf borderId="1" fillId="9" fontId="4" numFmtId="0" xfId="0" applyAlignment="1" applyBorder="1" applyFont="1">
      <alignment horizontal="right" readingOrder="0" vertical="bottom"/>
    </xf>
    <xf borderId="4" fillId="9" fontId="4" numFmtId="0" xfId="0" applyAlignment="1" applyBorder="1" applyFont="1">
      <alignment horizontal="right" readingOrder="0" vertical="bottom"/>
    </xf>
    <xf borderId="6" fillId="21" fontId="4" numFmtId="0" xfId="0" applyAlignment="1" applyBorder="1" applyFont="1">
      <alignment horizontal="right" vertical="bottom"/>
    </xf>
    <xf borderId="1" fillId="21" fontId="4" numFmtId="0" xfId="0" applyAlignment="1" applyBorder="1" applyFont="1">
      <alignment horizontal="right" vertical="bottom"/>
    </xf>
    <xf borderId="1" fillId="15" fontId="4" numFmtId="0" xfId="0" applyAlignment="1" applyBorder="1" applyFont="1">
      <alignment horizontal="center" readingOrder="0" vertical="bottom"/>
    </xf>
    <xf borderId="1" fillId="19" fontId="4" numFmtId="0" xfId="0" applyAlignment="1" applyBorder="1" applyFont="1">
      <alignment horizontal="center" readingOrder="0" vertical="bottom"/>
    </xf>
    <xf borderId="4" fillId="20" fontId="4" numFmtId="0" xfId="0" applyAlignment="1" applyBorder="1" applyFont="1">
      <alignment horizontal="right" readingOrder="0" vertical="bottom"/>
    </xf>
    <xf borderId="5" fillId="9" fontId="4" numFmtId="0" xfId="0" applyAlignment="1" applyBorder="1" applyFont="1">
      <alignment horizontal="right" readingOrder="0" vertical="bottom"/>
    </xf>
    <xf borderId="2" fillId="18" fontId="1" numFmtId="0" xfId="0" applyAlignment="1" applyBorder="1" applyFont="1">
      <alignment horizontal="left" shrinkToFit="0" vertical="center" wrapText="1"/>
    </xf>
    <xf borderId="10" fillId="9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4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1" fillId="7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2" fillId="23" fontId="4" numFmtId="0" xfId="0" applyAlignment="1" applyBorder="1" applyFont="1">
      <alignment horizontal="center" readingOrder="0" shrinkToFit="0" wrapText="1"/>
    </xf>
    <xf borderId="1" fillId="23" fontId="4" numFmtId="0" xfId="0" applyAlignment="1" applyBorder="1" applyFont="1">
      <alignment horizontal="center" vertical="bottom"/>
    </xf>
    <xf borderId="1" fillId="11" fontId="4" numFmtId="0" xfId="0" applyAlignment="1" applyBorder="1" applyFont="1">
      <alignment horizontal="right" readingOrder="0" vertical="bottom"/>
    </xf>
    <xf borderId="2" fillId="11" fontId="4" numFmtId="0" xfId="0" applyAlignment="1" applyBorder="1" applyFont="1">
      <alignment horizontal="center" readingOrder="0" shrinkToFit="0" wrapText="1"/>
    </xf>
    <xf borderId="1" fillId="11" fontId="4" numFmtId="0" xfId="0" applyAlignment="1" applyBorder="1" applyFont="1">
      <alignment horizontal="center" vertical="bottom"/>
    </xf>
    <xf borderId="1" fillId="17" fontId="4" numFmtId="0" xfId="0" applyAlignment="1" applyBorder="1" applyFont="1">
      <alignment horizontal="right" readingOrder="0" vertical="bottom"/>
    </xf>
    <xf borderId="1" fillId="24" fontId="4" numFmtId="0" xfId="0" applyAlignment="1" applyBorder="1" applyFont="1">
      <alignment horizontal="center" vertical="bottom"/>
    </xf>
    <xf borderId="1" fillId="9" fontId="4" numFmtId="0" xfId="0" applyAlignment="1" applyBorder="1" applyFont="1">
      <alignment vertical="bottom"/>
    </xf>
    <xf borderId="1" fillId="9" fontId="4" numFmtId="0" xfId="0" applyAlignment="1" applyBorder="1" applyFont="1">
      <alignment horizontal="center" vertical="bottom"/>
    </xf>
    <xf borderId="1" fillId="21" fontId="4" numFmtId="0" xfId="0" applyAlignment="1" applyBorder="1" applyFont="1">
      <alignment vertical="bottom"/>
    </xf>
    <xf borderId="2" fillId="24" fontId="4" numFmtId="0" xfId="0" applyAlignment="1" applyBorder="1" applyFont="1">
      <alignment horizontal="center" readingOrder="0" shrinkToFit="0" wrapText="1"/>
    </xf>
    <xf borderId="2" fillId="11" fontId="4" numFmtId="0" xfId="0" applyBorder="1" applyFont="1"/>
    <xf borderId="1" fillId="11" fontId="4" numFmtId="0" xfId="0" applyAlignment="1" applyBorder="1" applyFont="1">
      <alignment vertical="bottom"/>
    </xf>
    <xf borderId="1" fillId="17" fontId="4" numFmtId="0" xfId="0" applyAlignment="1" applyBorder="1" applyFont="1">
      <alignment vertical="bottom"/>
    </xf>
    <xf borderId="4" fillId="12" fontId="4" numFmtId="0" xfId="0" applyAlignment="1" applyBorder="1" applyFont="1">
      <alignment horizontal="center" readingOrder="0" vertical="bottom"/>
    </xf>
    <xf borderId="4" fillId="13" fontId="4" numFmtId="0" xfId="0" applyAlignment="1" applyBorder="1" applyFont="1">
      <alignment horizontal="center" vertical="bottom"/>
    </xf>
    <xf borderId="8" fillId="4" fontId="4" numFmtId="0" xfId="0" applyAlignment="1" applyBorder="1" applyFont="1">
      <alignment horizontal="center" readingOrder="0" vertical="bottom"/>
    </xf>
    <xf borderId="8" fillId="7" fontId="4" numFmtId="0" xfId="0" applyAlignment="1" applyBorder="1" applyFont="1">
      <alignment horizontal="center" readingOrder="0" vertical="bottom"/>
    </xf>
    <xf borderId="1" fillId="13" fontId="4" numFmtId="0" xfId="0" applyAlignment="1" applyBorder="1" applyFont="1">
      <alignment vertical="bottom"/>
    </xf>
    <xf borderId="1" fillId="13" fontId="4" numFmtId="0" xfId="0" applyAlignment="1" applyBorder="1" applyFont="1">
      <alignment horizontal="center" vertical="bottom"/>
    </xf>
    <xf borderId="6" fillId="4" fontId="4" numFmtId="0" xfId="0" applyAlignment="1" applyBorder="1" applyFont="1">
      <alignment vertical="bottom"/>
    </xf>
    <xf borderId="6" fillId="4" fontId="4" numFmtId="0" xfId="0" applyAlignment="1" applyBorder="1" applyFont="1">
      <alignment horizontal="center" vertical="bottom"/>
    </xf>
    <xf borderId="6" fillId="7" fontId="4" numFmtId="0" xfId="0" applyAlignment="1" applyBorder="1" applyFont="1">
      <alignment vertical="bottom"/>
    </xf>
    <xf borderId="6" fillId="7" fontId="4" numFmtId="0" xfId="0" applyAlignment="1" applyBorder="1" applyFont="1">
      <alignment horizontal="center" vertical="bottom"/>
    </xf>
    <xf borderId="2" fillId="15" fontId="4" numFmtId="0" xfId="0" applyAlignment="1" applyBorder="1" applyFont="1">
      <alignment horizontal="center" shrinkToFit="0" vertical="center" wrapText="1"/>
    </xf>
    <xf borderId="2" fillId="19" fontId="4" numFmtId="0" xfId="0" applyAlignment="1" applyBorder="1" applyFont="1">
      <alignment horizontal="center" shrinkToFit="0" vertical="center" wrapText="1"/>
    </xf>
    <xf borderId="2" fillId="15" fontId="4" numFmtId="0" xfId="0" applyAlignment="1" applyBorder="1" applyFont="1">
      <alignment horizontal="center" readingOrder="0" shrinkToFit="0" vertical="center" wrapText="1"/>
    </xf>
    <xf borderId="2" fillId="19" fontId="4" numFmtId="0" xfId="0" applyAlignment="1" applyBorder="1" applyFont="1">
      <alignment horizontal="center" readingOrder="0" shrinkToFit="0" vertical="center" wrapText="1"/>
    </xf>
    <xf borderId="1" fillId="20" fontId="4" numFmtId="0" xfId="0" applyAlignment="1" applyBorder="1" applyFont="1">
      <alignment horizontal="right" vertical="bottom"/>
    </xf>
    <xf borderId="4" fillId="20" fontId="4" numFmtId="0" xfId="0" applyAlignment="1" applyBorder="1" applyFont="1">
      <alignment horizontal="right" vertical="bottom"/>
    </xf>
    <xf borderId="6" fillId="9" fontId="4" numFmtId="0" xfId="0" applyAlignment="1" applyBorder="1" applyFont="1">
      <alignment horizontal="right" vertical="bottom"/>
    </xf>
    <xf borderId="1" fillId="9" fontId="4" numFmtId="0" xfId="0" applyAlignment="1" applyBorder="1" applyFont="1">
      <alignment horizontal="right" vertical="bottom"/>
    </xf>
    <xf borderId="4" fillId="9" fontId="4" numFmtId="0" xfId="0" applyAlignment="1" applyBorder="1" applyFont="1">
      <alignment horizontal="right" vertical="bottom"/>
    </xf>
    <xf borderId="2" fillId="24" fontId="4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readingOrder="0" vertical="bottom"/>
    </xf>
    <xf borderId="1" fillId="17" fontId="4" numFmtId="0" xfId="0" applyAlignment="1" applyBorder="1" applyFont="1">
      <alignment readingOrder="0" vertical="bottom"/>
    </xf>
    <xf borderId="1" fillId="9" fontId="4" numFmtId="0" xfId="0" applyAlignment="1" applyBorder="1" applyFont="1">
      <alignment readingOrder="0" vertical="bottom"/>
    </xf>
    <xf borderId="1" fillId="21" fontId="4" numFmtId="0" xfId="0" applyAlignment="1" applyBorder="1" applyFont="1">
      <alignment readingOrder="0" vertical="bottom"/>
    </xf>
    <xf borderId="1" fillId="16" fontId="4" numFmtId="0" xfId="0" applyAlignment="1" applyBorder="1" applyFont="1">
      <alignment readingOrder="0" vertical="bottom"/>
    </xf>
    <xf borderId="1" fillId="20" fontId="4" numFmtId="0" xfId="0" applyAlignment="1" applyBorder="1" applyFont="1">
      <alignment readingOrder="0" vertical="bottom"/>
    </xf>
    <xf borderId="6" fillId="9" fontId="4" numFmtId="0" xfId="0" applyAlignment="1" applyBorder="1" applyFont="1">
      <alignment readingOrder="0" vertical="bottom"/>
    </xf>
    <xf borderId="4" fillId="9" fontId="4" numFmtId="0" xfId="0" applyAlignment="1" applyBorder="1" applyFont="1">
      <alignment readingOrder="0" vertical="bottom"/>
    </xf>
    <xf borderId="6" fillId="21" fontId="4" numFmtId="0" xfId="0" applyAlignment="1" applyBorder="1" applyFont="1">
      <alignment readingOrder="0" vertical="bottom"/>
    </xf>
    <xf borderId="10" fillId="9" fontId="4" numFmtId="0" xfId="0" applyAlignment="1" applyBorder="1" applyFont="1">
      <alignment readingOrder="0" vertical="bottom"/>
    </xf>
    <xf borderId="1" fillId="14" fontId="1" numFmtId="0" xfId="0" applyAlignment="1" applyBorder="1" applyFont="1">
      <alignment readingOrder="0"/>
    </xf>
    <xf borderId="2" fillId="24" fontId="4" numFmtId="0" xfId="0" applyAlignment="1" applyBorder="1" applyFont="1">
      <alignment horizontal="center" shrinkToFit="0" wrapText="1"/>
    </xf>
    <xf quotePrefix="1" borderId="1" fillId="21" fontId="4" numFmtId="0" xfId="0" applyAlignment="1" applyBorder="1" applyFont="1">
      <alignment horizontal="right" readingOrder="0" vertical="bottom"/>
    </xf>
    <xf borderId="2" fillId="11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18" max="18" width="22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>
      <c r="A2" s="2" t="s">
        <v>15</v>
      </c>
      <c r="B2" s="4"/>
      <c r="C2" s="5" t="s">
        <v>16</v>
      </c>
      <c r="D2" s="4"/>
      <c r="E2" s="5" t="s">
        <v>16</v>
      </c>
      <c r="F2" s="6" t="s">
        <v>17</v>
      </c>
      <c r="G2" s="7"/>
      <c r="H2" s="4"/>
      <c r="I2" s="4"/>
      <c r="J2" s="5" t="s">
        <v>16</v>
      </c>
      <c r="K2" s="5" t="s">
        <v>16</v>
      </c>
      <c r="L2" s="8" t="s">
        <v>18</v>
      </c>
      <c r="M2" s="4"/>
      <c r="N2" s="5" t="s">
        <v>16</v>
      </c>
      <c r="O2" s="5" t="s">
        <v>16</v>
      </c>
      <c r="P2" s="9" t="s">
        <v>19</v>
      </c>
      <c r="Q2" s="6" t="s">
        <v>17</v>
      </c>
    </row>
    <row r="3">
      <c r="A3" s="2" t="s">
        <v>20</v>
      </c>
      <c r="B3" s="5" t="s">
        <v>16</v>
      </c>
      <c r="C3" s="6" t="s">
        <v>17</v>
      </c>
      <c r="D3" s="6" t="s">
        <v>17</v>
      </c>
      <c r="E3" s="4"/>
      <c r="F3" s="4"/>
      <c r="G3" s="10"/>
      <c r="H3" s="5" t="s">
        <v>16</v>
      </c>
      <c r="I3" s="5" t="s">
        <v>16</v>
      </c>
      <c r="J3" s="6" t="s">
        <v>17</v>
      </c>
      <c r="K3" s="6" t="s">
        <v>17</v>
      </c>
      <c r="L3" s="6" t="s">
        <v>17</v>
      </c>
      <c r="M3" s="6" t="s">
        <v>17</v>
      </c>
      <c r="N3" s="4"/>
      <c r="O3" s="8" t="s">
        <v>18</v>
      </c>
      <c r="P3" s="4"/>
      <c r="Q3" s="4"/>
    </row>
    <row r="4">
      <c r="A4" s="2" t="s">
        <v>21</v>
      </c>
      <c r="B4" s="6" t="s">
        <v>17</v>
      </c>
      <c r="C4" s="4"/>
      <c r="D4" s="5" t="s">
        <v>16</v>
      </c>
      <c r="E4" s="6" t="s">
        <v>17</v>
      </c>
      <c r="F4" s="5" t="s">
        <v>16</v>
      </c>
      <c r="G4" s="10"/>
      <c r="H4" s="6" t="s">
        <v>17</v>
      </c>
      <c r="I4" s="6" t="s">
        <v>17</v>
      </c>
      <c r="J4" s="4"/>
      <c r="K4" s="8" t="s">
        <v>18</v>
      </c>
      <c r="L4" s="5" t="s">
        <v>16</v>
      </c>
      <c r="M4" s="5" t="s">
        <v>16</v>
      </c>
      <c r="N4" s="6" t="s">
        <v>17</v>
      </c>
      <c r="O4" s="6" t="s">
        <v>17</v>
      </c>
      <c r="P4" s="5" t="s">
        <v>16</v>
      </c>
      <c r="Q4" s="5" t="s">
        <v>16</v>
      </c>
    </row>
    <row r="5">
      <c r="A5" s="1"/>
      <c r="B5" s="11"/>
      <c r="C5" s="12"/>
      <c r="D5" s="12"/>
      <c r="E5" s="12"/>
      <c r="F5" s="13"/>
      <c r="G5" s="7"/>
      <c r="H5" s="11"/>
      <c r="I5" s="12"/>
      <c r="J5" s="12"/>
      <c r="K5" s="12"/>
      <c r="L5" s="12"/>
      <c r="M5" s="12"/>
      <c r="N5" s="12"/>
      <c r="O5" s="12"/>
      <c r="P5" s="12"/>
      <c r="Q5" s="13"/>
    </row>
    <row r="6">
      <c r="A6" s="2" t="s">
        <v>22</v>
      </c>
      <c r="B6" s="4"/>
      <c r="C6" s="4"/>
      <c r="D6" s="4"/>
      <c r="E6" s="4"/>
      <c r="F6" s="4"/>
      <c r="G6" s="7"/>
      <c r="H6" s="8" t="s">
        <v>18</v>
      </c>
      <c r="I6" s="4"/>
      <c r="J6" s="4"/>
      <c r="K6" s="4"/>
      <c r="L6" s="4"/>
      <c r="M6" s="4"/>
      <c r="N6" s="8" t="s">
        <v>18</v>
      </c>
      <c r="O6" s="4"/>
      <c r="P6" s="4"/>
      <c r="Q6" s="4"/>
    </row>
    <row r="7">
      <c r="A7" s="2" t="s">
        <v>23</v>
      </c>
      <c r="B7" s="4"/>
      <c r="C7" s="4"/>
      <c r="D7" s="4"/>
      <c r="E7" s="4"/>
      <c r="F7" s="4"/>
      <c r="G7" s="10"/>
      <c r="H7" s="4"/>
      <c r="I7" s="4"/>
      <c r="J7" s="8" t="s">
        <v>18</v>
      </c>
      <c r="K7" s="4"/>
      <c r="L7" s="4"/>
      <c r="M7" s="8" t="s">
        <v>18</v>
      </c>
      <c r="N7" s="4"/>
      <c r="O7" s="4"/>
      <c r="P7" s="4"/>
      <c r="Q7" s="4"/>
    </row>
    <row r="8">
      <c r="A8" s="2" t="s">
        <v>24</v>
      </c>
      <c r="B8" s="4"/>
      <c r="C8" s="4"/>
      <c r="D8" s="4"/>
      <c r="E8" s="4"/>
      <c r="F8" s="4"/>
      <c r="G8" s="14"/>
      <c r="H8" s="4"/>
      <c r="I8" s="8" t="s">
        <v>18</v>
      </c>
      <c r="J8" s="4"/>
      <c r="K8" s="4"/>
      <c r="L8" s="4"/>
      <c r="M8" s="4"/>
      <c r="N8" s="15"/>
      <c r="O8" s="4"/>
      <c r="P8" s="4"/>
      <c r="Q8" s="8" t="s">
        <v>18</v>
      </c>
    </row>
    <row r="9">
      <c r="B9" s="16" t="s">
        <v>25</v>
      </c>
      <c r="C9" s="17"/>
      <c r="D9" s="16" t="s">
        <v>26</v>
      </c>
      <c r="E9" s="17"/>
      <c r="F9" s="16" t="s">
        <v>27</v>
      </c>
      <c r="G9" s="17"/>
      <c r="H9" s="16" t="s">
        <v>28</v>
      </c>
    </row>
    <row r="12">
      <c r="A12" s="18" t="s">
        <v>29</v>
      </c>
      <c r="B12" s="18" t="s">
        <v>30</v>
      </c>
      <c r="C12" s="18">
        <v>1.0</v>
      </c>
      <c r="D12" s="18">
        <v>2.0</v>
      </c>
      <c r="E12" s="18">
        <v>3.0</v>
      </c>
      <c r="F12" s="18">
        <v>4.0</v>
      </c>
      <c r="G12" s="18">
        <v>5.0</v>
      </c>
      <c r="H12" s="18">
        <v>6.0</v>
      </c>
      <c r="I12" s="18">
        <v>7.0</v>
      </c>
      <c r="J12" s="18">
        <v>8.0</v>
      </c>
      <c r="K12" s="18">
        <v>9.0</v>
      </c>
      <c r="L12" s="18">
        <v>10.0</v>
      </c>
    </row>
    <row r="13">
      <c r="A13" s="19" t="s">
        <v>31</v>
      </c>
      <c r="B13" s="20">
        <v>15.0</v>
      </c>
      <c r="C13" s="21" t="s">
        <v>32</v>
      </c>
      <c r="D13" s="22">
        <f t="shared" ref="D13:G13" si="1">ROUNDUP($B13*D14,0)</f>
        <v>15</v>
      </c>
      <c r="E13" s="22">
        <f t="shared" si="1"/>
        <v>25</v>
      </c>
      <c r="F13" s="22">
        <f t="shared" si="1"/>
        <v>50</v>
      </c>
      <c r="G13" s="22">
        <f t="shared" si="1"/>
        <v>100</v>
      </c>
      <c r="H13" s="23" t="s">
        <v>33</v>
      </c>
      <c r="I13" s="22">
        <f t="shared" ref="I13:L13" si="2">ROUNDUP($B13*I14,0)</f>
        <v>100</v>
      </c>
      <c r="J13" s="22">
        <f t="shared" si="2"/>
        <v>125</v>
      </c>
      <c r="K13" s="22">
        <f t="shared" si="2"/>
        <v>150</v>
      </c>
      <c r="L13" s="22">
        <f t="shared" si="2"/>
        <v>225</v>
      </c>
    </row>
    <row r="14">
      <c r="A14" s="24" t="s">
        <v>34</v>
      </c>
      <c r="B14" s="25"/>
      <c r="C14" s="10"/>
      <c r="D14" s="26">
        <v>1.0</v>
      </c>
      <c r="E14" s="26">
        <v>1.66</v>
      </c>
      <c r="F14" s="26">
        <v>3.33</v>
      </c>
      <c r="G14" s="26">
        <v>6.66</v>
      </c>
      <c r="H14" s="10"/>
      <c r="I14" s="26">
        <v>6.66</v>
      </c>
      <c r="J14" s="26">
        <v>8.33</v>
      </c>
      <c r="K14" s="26">
        <v>10.0</v>
      </c>
      <c r="L14" s="26">
        <v>15.0</v>
      </c>
    </row>
    <row r="15">
      <c r="A15" s="19" t="s">
        <v>35</v>
      </c>
      <c r="B15" s="20">
        <v>10.0</v>
      </c>
      <c r="C15" s="10"/>
      <c r="D15" s="22">
        <f t="shared" ref="D15:G15" si="3">ROUNDUP($B15*D16,0)</f>
        <v>0</v>
      </c>
      <c r="E15" s="22">
        <f t="shared" si="3"/>
        <v>10</v>
      </c>
      <c r="F15" s="22">
        <f t="shared" si="3"/>
        <v>20</v>
      </c>
      <c r="G15" s="22">
        <f t="shared" si="3"/>
        <v>40</v>
      </c>
      <c r="H15" s="10"/>
      <c r="I15" s="22">
        <f t="shared" ref="I15:L15" si="4">ROUNDUP($B15*I16,0)</f>
        <v>50</v>
      </c>
      <c r="J15" s="22">
        <f t="shared" si="4"/>
        <v>60</v>
      </c>
      <c r="K15" s="22">
        <f t="shared" si="4"/>
        <v>80</v>
      </c>
      <c r="L15" s="22">
        <f t="shared" si="4"/>
        <v>120</v>
      </c>
    </row>
    <row r="16">
      <c r="A16" s="24" t="s">
        <v>36</v>
      </c>
      <c r="B16" s="25"/>
      <c r="C16" s="10"/>
      <c r="D16" s="26">
        <v>0.0</v>
      </c>
      <c r="E16" s="26">
        <v>1.0</v>
      </c>
      <c r="F16" s="26">
        <v>2.0</v>
      </c>
      <c r="G16" s="26">
        <v>4.0</v>
      </c>
      <c r="H16" s="10"/>
      <c r="I16" s="26">
        <v>5.0</v>
      </c>
      <c r="J16" s="26">
        <v>6.0</v>
      </c>
      <c r="K16" s="26">
        <v>8.0</v>
      </c>
      <c r="L16" s="26">
        <v>12.0</v>
      </c>
    </row>
    <row r="17">
      <c r="A17" s="19" t="s">
        <v>37</v>
      </c>
      <c r="B17" s="20">
        <v>10.0</v>
      </c>
      <c r="C17" s="10"/>
      <c r="D17" s="22">
        <f t="shared" ref="D17:G17" si="5">ROUNDUP($B17*D18,0)</f>
        <v>0</v>
      </c>
      <c r="E17" s="22">
        <f t="shared" si="5"/>
        <v>0</v>
      </c>
      <c r="F17" s="22">
        <f t="shared" si="5"/>
        <v>0</v>
      </c>
      <c r="G17" s="22">
        <f t="shared" si="5"/>
        <v>0</v>
      </c>
      <c r="H17" s="10"/>
      <c r="I17" s="22">
        <f t="shared" ref="I17:L17" si="6">ROUNDUP($B17*I18,0)</f>
        <v>10</v>
      </c>
      <c r="J17" s="22">
        <f t="shared" si="6"/>
        <v>20</v>
      </c>
      <c r="K17" s="22">
        <f t="shared" si="6"/>
        <v>40</v>
      </c>
      <c r="L17" s="22">
        <f t="shared" si="6"/>
        <v>100</v>
      </c>
    </row>
    <row r="18">
      <c r="A18" s="24" t="s">
        <v>38</v>
      </c>
      <c r="B18" s="25"/>
      <c r="C18" s="10"/>
      <c r="D18" s="26">
        <v>0.0</v>
      </c>
      <c r="E18" s="26">
        <v>0.0</v>
      </c>
      <c r="F18" s="26">
        <v>0.0</v>
      </c>
      <c r="G18" s="26">
        <v>0.0</v>
      </c>
      <c r="H18" s="10"/>
      <c r="I18" s="26">
        <v>1.0</v>
      </c>
      <c r="J18" s="26">
        <v>2.0</v>
      </c>
      <c r="K18" s="26">
        <v>4.0</v>
      </c>
      <c r="L18" s="26">
        <v>10.0</v>
      </c>
    </row>
    <row r="19">
      <c r="A19" s="19" t="s">
        <v>39</v>
      </c>
      <c r="B19" s="20">
        <v>10.0</v>
      </c>
      <c r="C19" s="10"/>
      <c r="D19" s="22">
        <f t="shared" ref="D19:G19" si="7">ROUNDUP($B19*D20,0)</f>
        <v>0</v>
      </c>
      <c r="E19" s="22">
        <f t="shared" si="7"/>
        <v>0</v>
      </c>
      <c r="F19" s="22">
        <f t="shared" si="7"/>
        <v>0</v>
      </c>
      <c r="G19" s="22">
        <f t="shared" si="7"/>
        <v>0</v>
      </c>
      <c r="H19" s="10"/>
      <c r="I19" s="22">
        <f t="shared" ref="I19:L19" si="8">ROUNDUP($B19*I20,0)</f>
        <v>20</v>
      </c>
      <c r="J19" s="22">
        <f t="shared" si="8"/>
        <v>40</v>
      </c>
      <c r="K19" s="22">
        <f t="shared" si="8"/>
        <v>80</v>
      </c>
      <c r="L19" s="22">
        <f t="shared" si="8"/>
        <v>275</v>
      </c>
    </row>
    <row r="20">
      <c r="A20" s="24" t="s">
        <v>40</v>
      </c>
      <c r="B20" s="25"/>
      <c r="C20" s="14"/>
      <c r="D20" s="26">
        <v>0.0</v>
      </c>
      <c r="E20" s="26">
        <v>0.0</v>
      </c>
      <c r="F20" s="26">
        <v>0.0</v>
      </c>
      <c r="G20" s="26">
        <v>0.0</v>
      </c>
      <c r="H20" s="14"/>
      <c r="I20" s="26">
        <v>2.0</v>
      </c>
      <c r="J20" s="26">
        <v>4.0</v>
      </c>
      <c r="K20" s="26">
        <v>8.0</v>
      </c>
      <c r="L20" s="26">
        <v>27.5</v>
      </c>
    </row>
  </sheetData>
  <mergeCells count="6">
    <mergeCell ref="G2:G4"/>
    <mergeCell ref="B5:F5"/>
    <mergeCell ref="H5:Q5"/>
    <mergeCell ref="G6:G8"/>
    <mergeCell ref="C13:C20"/>
    <mergeCell ref="H13:H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9.25"/>
    <col customWidth="1" min="3" max="7" width="6.63"/>
    <col customWidth="1" min="8" max="9" width="9.25"/>
    <col customWidth="1" min="10" max="14" width="6.63"/>
    <col customWidth="1" min="15" max="16" width="9.25"/>
    <col customWidth="1" min="17" max="21" width="6.63"/>
    <col customWidth="1" min="22" max="22" width="27.38"/>
    <col customWidth="1" min="23" max="23" width="38.13"/>
  </cols>
  <sheetData>
    <row r="1">
      <c r="A1" s="27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>
      <c r="A2" s="28" t="s">
        <v>41</v>
      </c>
      <c r="B2" s="12"/>
      <c r="C2" s="12"/>
      <c r="D2" s="12"/>
      <c r="E2" s="12"/>
      <c r="F2" s="12"/>
      <c r="G2" s="13"/>
      <c r="H2" s="29" t="s">
        <v>22</v>
      </c>
      <c r="I2" s="30"/>
      <c r="J2" s="30"/>
      <c r="K2" s="30"/>
      <c r="L2" s="30"/>
      <c r="M2" s="30"/>
      <c r="N2" s="31"/>
      <c r="O2" s="32" t="s">
        <v>42</v>
      </c>
      <c r="P2" s="30"/>
      <c r="Q2" s="30"/>
      <c r="R2" s="30"/>
      <c r="S2" s="30"/>
      <c r="T2" s="30"/>
      <c r="U2" s="31"/>
      <c r="V2" s="33" t="s">
        <v>43</v>
      </c>
      <c r="W2" s="33" t="s">
        <v>44</v>
      </c>
      <c r="X2" s="34" t="s">
        <v>45</v>
      </c>
    </row>
    <row r="3">
      <c r="A3" s="35"/>
      <c r="B3" s="36"/>
      <c r="C3" s="36" t="s">
        <v>30</v>
      </c>
      <c r="D3" s="36">
        <v>2.0</v>
      </c>
      <c r="E3" s="36">
        <v>3.0</v>
      </c>
      <c r="F3" s="36">
        <v>4.0</v>
      </c>
      <c r="G3" s="28">
        <v>5.0</v>
      </c>
      <c r="H3" s="37"/>
      <c r="I3" s="38"/>
      <c r="J3" s="39">
        <v>6.0</v>
      </c>
      <c r="K3" s="6">
        <v>7.0</v>
      </c>
      <c r="L3" s="6">
        <v>8.0</v>
      </c>
      <c r="M3" s="6">
        <v>9.0</v>
      </c>
      <c r="N3" s="40">
        <v>10.0</v>
      </c>
      <c r="O3" s="41"/>
      <c r="P3" s="42"/>
      <c r="Q3" s="43">
        <v>6.0</v>
      </c>
      <c r="R3" s="44">
        <v>7.0</v>
      </c>
      <c r="S3" s="44">
        <v>8.0</v>
      </c>
      <c r="T3" s="44">
        <v>9.0</v>
      </c>
      <c r="U3" s="44">
        <v>10.0</v>
      </c>
      <c r="V3" s="14"/>
      <c r="W3" s="14"/>
    </row>
    <row r="4">
      <c r="A4" s="45" t="s">
        <v>46</v>
      </c>
      <c r="B4" s="46" t="s">
        <v>47</v>
      </c>
      <c r="C4" s="47">
        <v>25.0</v>
      </c>
      <c r="D4" s="48">
        <f t="shared" ref="D4:G4" si="1">C4+D5</f>
        <v>35</v>
      </c>
      <c r="E4" s="48">
        <f t="shared" si="1"/>
        <v>45</v>
      </c>
      <c r="F4" s="48">
        <f t="shared" si="1"/>
        <v>55</v>
      </c>
      <c r="G4" s="49">
        <f t="shared" si="1"/>
        <v>65</v>
      </c>
      <c r="H4" s="50"/>
      <c r="I4" s="51"/>
      <c r="J4" s="52">
        <f>G4+J5</f>
        <v>75</v>
      </c>
      <c r="K4" s="25">
        <f t="shared" ref="K4:N4" si="2">J4+K5</f>
        <v>85</v>
      </c>
      <c r="L4" s="25">
        <f t="shared" si="2"/>
        <v>95</v>
      </c>
      <c r="M4" s="25">
        <f t="shared" si="2"/>
        <v>105</v>
      </c>
      <c r="N4" s="53">
        <f t="shared" si="2"/>
        <v>150</v>
      </c>
      <c r="O4" s="54"/>
      <c r="P4" s="55"/>
      <c r="Q4" s="56">
        <f>G4+Q5</f>
        <v>80</v>
      </c>
      <c r="R4" s="57">
        <f t="shared" ref="R4:U4" si="3">Q4+R5</f>
        <v>95</v>
      </c>
      <c r="S4" s="57">
        <f t="shared" si="3"/>
        <v>110</v>
      </c>
      <c r="T4" s="57">
        <f t="shared" si="3"/>
        <v>125</v>
      </c>
      <c r="U4" s="57">
        <f t="shared" si="3"/>
        <v>200</v>
      </c>
      <c r="V4" s="58" t="s">
        <v>48</v>
      </c>
      <c r="W4" s="58" t="s">
        <v>49</v>
      </c>
    </row>
    <row r="5">
      <c r="A5" s="14"/>
      <c r="B5" s="59" t="s">
        <v>50</v>
      </c>
      <c r="C5" s="60"/>
      <c r="D5" s="61">
        <v>10.0</v>
      </c>
      <c r="E5" s="61">
        <v>10.0</v>
      </c>
      <c r="F5" s="61">
        <v>10.0</v>
      </c>
      <c r="G5" s="62">
        <v>10.0</v>
      </c>
      <c r="H5" s="63"/>
      <c r="I5" s="64"/>
      <c r="J5" s="65">
        <v>10.0</v>
      </c>
      <c r="K5" s="20">
        <v>10.0</v>
      </c>
      <c r="L5" s="20">
        <v>10.0</v>
      </c>
      <c r="M5" s="20">
        <v>10.0</v>
      </c>
      <c r="N5" s="66">
        <v>45.0</v>
      </c>
      <c r="O5" s="67"/>
      <c r="P5" s="68"/>
      <c r="Q5" s="69">
        <v>15.0</v>
      </c>
      <c r="R5" s="70">
        <v>15.0</v>
      </c>
      <c r="S5" s="70">
        <v>15.0</v>
      </c>
      <c r="T5" s="70">
        <v>15.0</v>
      </c>
      <c r="U5" s="70">
        <v>75.0</v>
      </c>
      <c r="V5" s="14"/>
      <c r="W5" s="14"/>
    </row>
    <row r="6">
      <c r="A6" s="71" t="s">
        <v>51</v>
      </c>
      <c r="B6" s="46" t="s">
        <v>47</v>
      </c>
      <c r="C6" s="47">
        <v>3.0</v>
      </c>
      <c r="D6" s="48">
        <f t="shared" ref="D6:G6" si="4">C6+D7</f>
        <v>3</v>
      </c>
      <c r="E6" s="48">
        <f t="shared" si="4"/>
        <v>3.5</v>
      </c>
      <c r="F6" s="48">
        <f t="shared" si="4"/>
        <v>3.5</v>
      </c>
      <c r="G6" s="49">
        <f t="shared" si="4"/>
        <v>4</v>
      </c>
      <c r="H6" s="72"/>
      <c r="I6" s="52"/>
      <c r="J6" s="52">
        <f>G6+J7</f>
        <v>4</v>
      </c>
      <c r="K6" s="25">
        <f t="shared" ref="K6:N6" si="5">J6+K7</f>
        <v>4.5</v>
      </c>
      <c r="L6" s="25">
        <f t="shared" si="5"/>
        <v>4.5</v>
      </c>
      <c r="M6" s="25">
        <f t="shared" si="5"/>
        <v>5</v>
      </c>
      <c r="N6" s="53">
        <f t="shared" si="5"/>
        <v>7</v>
      </c>
      <c r="O6" s="73"/>
      <c r="P6" s="56"/>
      <c r="Q6" s="56">
        <f>G6+Q7</f>
        <v>4</v>
      </c>
      <c r="R6" s="57">
        <f t="shared" ref="R6:U6" si="6">Q6+R7</f>
        <v>4.5</v>
      </c>
      <c r="S6" s="57">
        <f t="shared" si="6"/>
        <v>4.5</v>
      </c>
      <c r="T6" s="57">
        <f t="shared" si="6"/>
        <v>5</v>
      </c>
      <c r="U6" s="57">
        <f t="shared" si="6"/>
        <v>7</v>
      </c>
      <c r="V6" s="74" t="s">
        <v>52</v>
      </c>
      <c r="W6" s="75"/>
    </row>
    <row r="7">
      <c r="A7" s="14"/>
      <c r="B7" s="59" t="s">
        <v>50</v>
      </c>
      <c r="C7" s="60"/>
      <c r="D7" s="61">
        <v>0.0</v>
      </c>
      <c r="E7" s="61">
        <v>0.5</v>
      </c>
      <c r="F7" s="61">
        <v>0.0</v>
      </c>
      <c r="G7" s="62">
        <v>0.5</v>
      </c>
      <c r="H7" s="63"/>
      <c r="I7" s="64"/>
      <c r="J7" s="65">
        <v>0.0</v>
      </c>
      <c r="K7" s="20">
        <v>0.5</v>
      </c>
      <c r="L7" s="20">
        <v>0.0</v>
      </c>
      <c r="M7" s="20">
        <v>0.5</v>
      </c>
      <c r="N7" s="66">
        <v>2.0</v>
      </c>
      <c r="O7" s="67"/>
      <c r="P7" s="68"/>
      <c r="Q7" s="69">
        <v>0.0</v>
      </c>
      <c r="R7" s="70">
        <v>0.5</v>
      </c>
      <c r="S7" s="70">
        <v>0.0</v>
      </c>
      <c r="T7" s="70">
        <v>0.5</v>
      </c>
      <c r="U7" s="70">
        <v>2.0</v>
      </c>
      <c r="V7" s="14"/>
      <c r="W7" s="14"/>
    </row>
    <row r="8">
      <c r="A8" s="45" t="s">
        <v>53</v>
      </c>
      <c r="B8" s="46" t="s">
        <v>47</v>
      </c>
      <c r="C8" s="47">
        <v>12.0</v>
      </c>
      <c r="D8" s="48">
        <f t="shared" ref="D8:G8" si="7">C8+D9</f>
        <v>13</v>
      </c>
      <c r="E8" s="48">
        <f t="shared" si="7"/>
        <v>14</v>
      </c>
      <c r="F8" s="48">
        <f t="shared" si="7"/>
        <v>15</v>
      </c>
      <c r="G8" s="49">
        <f t="shared" si="7"/>
        <v>16</v>
      </c>
      <c r="H8" s="72"/>
      <c r="I8" s="52"/>
      <c r="J8" s="52">
        <f>G8+J9</f>
        <v>17</v>
      </c>
      <c r="K8" s="25">
        <f t="shared" ref="K8:N8" si="8">J8+K9</f>
        <v>18</v>
      </c>
      <c r="L8" s="25">
        <f t="shared" si="8"/>
        <v>19</v>
      </c>
      <c r="M8" s="25">
        <f t="shared" si="8"/>
        <v>20</v>
      </c>
      <c r="N8" s="53">
        <f t="shared" si="8"/>
        <v>22</v>
      </c>
      <c r="O8" s="73"/>
      <c r="P8" s="56"/>
      <c r="Q8" s="56">
        <f>G8+Q9</f>
        <v>17</v>
      </c>
      <c r="R8" s="57">
        <f t="shared" ref="R8:U8" si="9">Q8+R9</f>
        <v>18</v>
      </c>
      <c r="S8" s="57">
        <f t="shared" si="9"/>
        <v>19</v>
      </c>
      <c r="T8" s="57">
        <f t="shared" si="9"/>
        <v>20</v>
      </c>
      <c r="U8" s="57">
        <f t="shared" si="9"/>
        <v>22</v>
      </c>
      <c r="V8" s="58" t="s">
        <v>54</v>
      </c>
      <c r="W8" s="58"/>
    </row>
    <row r="9">
      <c r="A9" s="14"/>
      <c r="B9" s="59" t="s">
        <v>50</v>
      </c>
      <c r="C9" s="60"/>
      <c r="D9" s="61">
        <v>1.0</v>
      </c>
      <c r="E9" s="61">
        <v>1.0</v>
      </c>
      <c r="F9" s="61">
        <v>1.0</v>
      </c>
      <c r="G9" s="62">
        <v>1.0</v>
      </c>
      <c r="H9" s="63"/>
      <c r="I9" s="64"/>
      <c r="J9" s="65">
        <v>1.0</v>
      </c>
      <c r="K9" s="20">
        <v>1.0</v>
      </c>
      <c r="L9" s="20">
        <v>1.0</v>
      </c>
      <c r="M9" s="20">
        <v>1.0</v>
      </c>
      <c r="N9" s="66">
        <v>2.0</v>
      </c>
      <c r="O9" s="67"/>
      <c r="P9" s="68"/>
      <c r="Q9" s="69">
        <v>1.0</v>
      </c>
      <c r="R9" s="70">
        <v>1.0</v>
      </c>
      <c r="S9" s="70">
        <v>1.0</v>
      </c>
      <c r="T9" s="70">
        <v>1.0</v>
      </c>
      <c r="U9" s="70">
        <v>2.0</v>
      </c>
      <c r="V9" s="14"/>
      <c r="W9" s="14"/>
    </row>
    <row r="10">
      <c r="A10" s="71" t="s">
        <v>55</v>
      </c>
      <c r="B10" s="46" t="s">
        <v>47</v>
      </c>
      <c r="C10" s="47">
        <v>100.0</v>
      </c>
      <c r="D10" s="48">
        <f t="shared" ref="D10:G10" si="10">C10+D11</f>
        <v>120</v>
      </c>
      <c r="E10" s="48">
        <f t="shared" si="10"/>
        <v>140</v>
      </c>
      <c r="F10" s="48">
        <f t="shared" si="10"/>
        <v>160</v>
      </c>
      <c r="G10" s="49">
        <f t="shared" si="10"/>
        <v>180</v>
      </c>
      <c r="H10" s="72"/>
      <c r="I10" s="52"/>
      <c r="J10" s="52">
        <f>G10+J11</f>
        <v>200</v>
      </c>
      <c r="K10" s="25">
        <f t="shared" ref="K10:N10" si="11">J10+K11</f>
        <v>220</v>
      </c>
      <c r="L10" s="25">
        <f t="shared" si="11"/>
        <v>240</v>
      </c>
      <c r="M10" s="25">
        <f t="shared" si="11"/>
        <v>260</v>
      </c>
      <c r="N10" s="53">
        <f t="shared" si="11"/>
        <v>300</v>
      </c>
      <c r="O10" s="73"/>
      <c r="P10" s="56"/>
      <c r="Q10" s="56">
        <f>G10+Q11</f>
        <v>200</v>
      </c>
      <c r="R10" s="57">
        <f t="shared" ref="R10:U10" si="12">Q10+R11</f>
        <v>220</v>
      </c>
      <c r="S10" s="57">
        <f t="shared" si="12"/>
        <v>240</v>
      </c>
      <c r="T10" s="57">
        <f t="shared" si="12"/>
        <v>260</v>
      </c>
      <c r="U10" s="57">
        <f t="shared" si="12"/>
        <v>300</v>
      </c>
      <c r="V10" s="74" t="s">
        <v>56</v>
      </c>
      <c r="W10" s="75"/>
    </row>
    <row r="11">
      <c r="A11" s="14"/>
      <c r="B11" s="59" t="s">
        <v>50</v>
      </c>
      <c r="C11" s="60"/>
      <c r="D11" s="61">
        <v>20.0</v>
      </c>
      <c r="E11" s="61">
        <v>20.0</v>
      </c>
      <c r="F11" s="61">
        <v>20.0</v>
      </c>
      <c r="G11" s="62">
        <v>20.0</v>
      </c>
      <c r="H11" s="63"/>
      <c r="I11" s="64"/>
      <c r="J11" s="65">
        <v>20.0</v>
      </c>
      <c r="K11" s="20">
        <v>20.0</v>
      </c>
      <c r="L11" s="20">
        <v>20.0</v>
      </c>
      <c r="M11" s="20">
        <v>20.0</v>
      </c>
      <c r="N11" s="66">
        <v>40.0</v>
      </c>
      <c r="O11" s="67"/>
      <c r="P11" s="68"/>
      <c r="Q11" s="69">
        <v>20.0</v>
      </c>
      <c r="R11" s="70">
        <v>20.0</v>
      </c>
      <c r="S11" s="70">
        <v>20.0</v>
      </c>
      <c r="T11" s="70">
        <v>20.0</v>
      </c>
      <c r="U11" s="70">
        <v>40.0</v>
      </c>
      <c r="V11" s="14"/>
      <c r="W11" s="14"/>
    </row>
    <row r="12">
      <c r="A12" s="45" t="s">
        <v>57</v>
      </c>
      <c r="B12" s="46" t="s">
        <v>47</v>
      </c>
      <c r="C12" s="47">
        <v>6.0</v>
      </c>
      <c r="D12" s="48">
        <f t="shared" ref="D12:G12" si="13">C12+D13</f>
        <v>8</v>
      </c>
      <c r="E12" s="48">
        <f t="shared" si="13"/>
        <v>10</v>
      </c>
      <c r="F12" s="48">
        <f t="shared" si="13"/>
        <v>12</v>
      </c>
      <c r="G12" s="49">
        <f t="shared" si="13"/>
        <v>14</v>
      </c>
      <c r="H12" s="72"/>
      <c r="I12" s="52"/>
      <c r="J12" s="52">
        <f>G12+J13</f>
        <v>16</v>
      </c>
      <c r="K12" s="25">
        <f t="shared" ref="K12:N12" si="14">J12+K13</f>
        <v>18</v>
      </c>
      <c r="L12" s="25">
        <f t="shared" si="14"/>
        <v>20</v>
      </c>
      <c r="M12" s="25">
        <f t="shared" si="14"/>
        <v>22</v>
      </c>
      <c r="N12" s="53">
        <f t="shared" si="14"/>
        <v>24</v>
      </c>
      <c r="O12" s="73"/>
      <c r="P12" s="56"/>
      <c r="Q12" s="56">
        <f>G12+Q13</f>
        <v>16</v>
      </c>
      <c r="R12" s="57">
        <f t="shared" ref="R12:U12" si="15">Q12+R13</f>
        <v>18</v>
      </c>
      <c r="S12" s="57">
        <f t="shared" si="15"/>
        <v>20</v>
      </c>
      <c r="T12" s="57">
        <f t="shared" si="15"/>
        <v>22</v>
      </c>
      <c r="U12" s="57">
        <f t="shared" si="15"/>
        <v>24</v>
      </c>
      <c r="V12" s="58" t="s">
        <v>54</v>
      </c>
      <c r="W12" s="58"/>
    </row>
    <row r="13">
      <c r="A13" s="14"/>
      <c r="B13" s="59" t="s">
        <v>50</v>
      </c>
      <c r="C13" s="60"/>
      <c r="D13" s="61">
        <v>2.0</v>
      </c>
      <c r="E13" s="61">
        <v>2.0</v>
      </c>
      <c r="F13" s="61">
        <v>2.0</v>
      </c>
      <c r="G13" s="62">
        <v>2.0</v>
      </c>
      <c r="H13" s="63"/>
      <c r="I13" s="64"/>
      <c r="J13" s="65">
        <v>2.0</v>
      </c>
      <c r="K13" s="20">
        <v>2.0</v>
      </c>
      <c r="L13" s="20">
        <v>2.0</v>
      </c>
      <c r="M13" s="20">
        <v>2.0</v>
      </c>
      <c r="N13" s="66">
        <v>2.0</v>
      </c>
      <c r="O13" s="67"/>
      <c r="P13" s="68"/>
      <c r="Q13" s="69">
        <v>2.0</v>
      </c>
      <c r="R13" s="70">
        <v>2.0</v>
      </c>
      <c r="S13" s="70">
        <v>2.0</v>
      </c>
      <c r="T13" s="70">
        <v>2.0</v>
      </c>
      <c r="U13" s="70">
        <v>2.0</v>
      </c>
      <c r="V13" s="14"/>
      <c r="W13" s="14"/>
    </row>
    <row r="14">
      <c r="A14" s="71" t="s">
        <v>58</v>
      </c>
      <c r="B14" s="46" t="s">
        <v>47</v>
      </c>
      <c r="C14" s="47">
        <v>50.0</v>
      </c>
      <c r="D14" s="48">
        <f t="shared" ref="D14:G14" si="16">C14+D15</f>
        <v>70</v>
      </c>
      <c r="E14" s="48">
        <f t="shared" si="16"/>
        <v>90</v>
      </c>
      <c r="F14" s="48">
        <f t="shared" si="16"/>
        <v>110</v>
      </c>
      <c r="G14" s="49">
        <f t="shared" si="16"/>
        <v>130</v>
      </c>
      <c r="H14" s="72"/>
      <c r="I14" s="52"/>
      <c r="J14" s="52">
        <f>G14+J15</f>
        <v>150</v>
      </c>
      <c r="K14" s="25">
        <f t="shared" ref="K14:N14" si="17">J14+K15</f>
        <v>170</v>
      </c>
      <c r="L14" s="25">
        <f t="shared" si="17"/>
        <v>190</v>
      </c>
      <c r="M14" s="25">
        <f t="shared" si="17"/>
        <v>210</v>
      </c>
      <c r="N14" s="53">
        <f t="shared" si="17"/>
        <v>300</v>
      </c>
      <c r="O14" s="73"/>
      <c r="P14" s="56"/>
      <c r="Q14" s="56">
        <f>G14+Q15</f>
        <v>160</v>
      </c>
      <c r="R14" s="57">
        <f t="shared" ref="R14:U14" si="18">Q14+R15</f>
        <v>190</v>
      </c>
      <c r="S14" s="57">
        <f t="shared" si="18"/>
        <v>220</v>
      </c>
      <c r="T14" s="57">
        <f t="shared" si="18"/>
        <v>250</v>
      </c>
      <c r="U14" s="57">
        <f t="shared" si="18"/>
        <v>400</v>
      </c>
      <c r="V14" s="74" t="s">
        <v>59</v>
      </c>
      <c r="W14" s="74" t="s">
        <v>60</v>
      </c>
    </row>
    <row r="15">
      <c r="A15" s="14"/>
      <c r="B15" s="59" t="s">
        <v>50</v>
      </c>
      <c r="C15" s="60"/>
      <c r="D15" s="61">
        <v>20.0</v>
      </c>
      <c r="E15" s="61">
        <v>20.0</v>
      </c>
      <c r="F15" s="61">
        <v>20.0</v>
      </c>
      <c r="G15" s="62">
        <v>20.0</v>
      </c>
      <c r="H15" s="63"/>
      <c r="I15" s="64"/>
      <c r="J15" s="65">
        <v>20.0</v>
      </c>
      <c r="K15" s="20">
        <v>20.0</v>
      </c>
      <c r="L15" s="20">
        <v>20.0</v>
      </c>
      <c r="M15" s="20">
        <v>20.0</v>
      </c>
      <c r="N15" s="66">
        <v>90.0</v>
      </c>
      <c r="O15" s="67"/>
      <c r="P15" s="68"/>
      <c r="Q15" s="69">
        <v>30.0</v>
      </c>
      <c r="R15" s="69">
        <v>30.0</v>
      </c>
      <c r="S15" s="69">
        <v>30.0</v>
      </c>
      <c r="T15" s="69">
        <v>30.0</v>
      </c>
      <c r="U15" s="70">
        <v>150.0</v>
      </c>
      <c r="V15" s="14"/>
      <c r="W15" s="14"/>
    </row>
    <row r="16">
      <c r="A16" s="45" t="s">
        <v>61</v>
      </c>
      <c r="B16" s="46" t="s">
        <v>47</v>
      </c>
      <c r="C16" s="47">
        <v>14.0</v>
      </c>
      <c r="D16" s="48">
        <f t="shared" ref="D16:G16" si="19">C16+D17</f>
        <v>13</v>
      </c>
      <c r="E16" s="48">
        <f t="shared" si="19"/>
        <v>12</v>
      </c>
      <c r="F16" s="48">
        <f t="shared" si="19"/>
        <v>11</v>
      </c>
      <c r="G16" s="49">
        <f t="shared" si="19"/>
        <v>10</v>
      </c>
      <c r="H16" s="72"/>
      <c r="I16" s="52"/>
      <c r="J16" s="52">
        <f>G16+J17</f>
        <v>9</v>
      </c>
      <c r="K16" s="25">
        <f t="shared" ref="K16:N16" si="20">J16+K17</f>
        <v>8</v>
      </c>
      <c r="L16" s="25">
        <f t="shared" si="20"/>
        <v>7</v>
      </c>
      <c r="M16" s="25">
        <f t="shared" si="20"/>
        <v>6</v>
      </c>
      <c r="N16" s="53">
        <f t="shared" si="20"/>
        <v>5</v>
      </c>
      <c r="O16" s="73"/>
      <c r="P16" s="56"/>
      <c r="Q16" s="56">
        <f>G16+Q17</f>
        <v>9</v>
      </c>
      <c r="R16" s="57">
        <f t="shared" ref="R16:U16" si="21">Q16+R17</f>
        <v>8</v>
      </c>
      <c r="S16" s="57">
        <f t="shared" si="21"/>
        <v>7</v>
      </c>
      <c r="T16" s="57">
        <f t="shared" si="21"/>
        <v>6</v>
      </c>
      <c r="U16" s="57">
        <f t="shared" si="21"/>
        <v>5</v>
      </c>
      <c r="V16" s="58" t="s">
        <v>62</v>
      </c>
      <c r="W16" s="58"/>
    </row>
    <row r="17">
      <c r="A17" s="14"/>
      <c r="B17" s="59" t="s">
        <v>50</v>
      </c>
      <c r="C17" s="60"/>
      <c r="D17" s="61">
        <v>-1.0</v>
      </c>
      <c r="E17" s="61">
        <v>-1.0</v>
      </c>
      <c r="F17" s="61">
        <v>-1.0</v>
      </c>
      <c r="G17" s="61">
        <v>-1.0</v>
      </c>
      <c r="H17" s="63"/>
      <c r="I17" s="64"/>
      <c r="J17" s="65">
        <v>-1.0</v>
      </c>
      <c r="K17" s="20">
        <v>-1.0</v>
      </c>
      <c r="L17" s="20">
        <v>-1.0</v>
      </c>
      <c r="M17" s="20">
        <v>-1.0</v>
      </c>
      <c r="N17" s="66">
        <v>-1.0</v>
      </c>
      <c r="O17" s="67"/>
      <c r="P17" s="68"/>
      <c r="Q17" s="69">
        <v>-1.0</v>
      </c>
      <c r="R17" s="70">
        <v>-1.0</v>
      </c>
      <c r="S17" s="70">
        <v>-1.0</v>
      </c>
      <c r="T17" s="70">
        <v>-1.0</v>
      </c>
      <c r="U17" s="70">
        <v>-1.0</v>
      </c>
      <c r="V17" s="14"/>
      <c r="W17" s="14"/>
    </row>
    <row r="18">
      <c r="A18" s="71" t="s">
        <v>63</v>
      </c>
      <c r="B18" s="46" t="s">
        <v>47</v>
      </c>
      <c r="C18" s="47">
        <v>0.0</v>
      </c>
      <c r="D18" s="48">
        <f t="shared" ref="D18:G18" si="22">C18+D19</f>
        <v>0</v>
      </c>
      <c r="E18" s="48">
        <f t="shared" si="22"/>
        <v>0</v>
      </c>
      <c r="F18" s="48">
        <f t="shared" si="22"/>
        <v>0</v>
      </c>
      <c r="G18" s="49">
        <f t="shared" si="22"/>
        <v>0</v>
      </c>
      <c r="H18" s="72"/>
      <c r="I18" s="52"/>
      <c r="J18" s="52">
        <f>G18+J19</f>
        <v>0</v>
      </c>
      <c r="K18" s="25">
        <f t="shared" ref="K18:N18" si="23">J18+K19</f>
        <v>0</v>
      </c>
      <c r="L18" s="25">
        <f t="shared" si="23"/>
        <v>0</v>
      </c>
      <c r="M18" s="25">
        <f t="shared" si="23"/>
        <v>0</v>
      </c>
      <c r="N18" s="53">
        <f t="shared" si="23"/>
        <v>0</v>
      </c>
      <c r="O18" s="73"/>
      <c r="P18" s="56"/>
      <c r="Q18" s="56">
        <f>G18+Q19</f>
        <v>0</v>
      </c>
      <c r="R18" s="57">
        <f t="shared" ref="R18:U18" si="24">Q18+R19</f>
        <v>0</v>
      </c>
      <c r="S18" s="57">
        <f t="shared" si="24"/>
        <v>0</v>
      </c>
      <c r="T18" s="57">
        <f t="shared" si="24"/>
        <v>0</v>
      </c>
      <c r="U18" s="57">
        <f t="shared" si="24"/>
        <v>0</v>
      </c>
      <c r="V18" s="74" t="s">
        <v>64</v>
      </c>
      <c r="W18" s="74"/>
    </row>
    <row r="19">
      <c r="A19" s="14"/>
      <c r="B19" s="59" t="s">
        <v>50</v>
      </c>
      <c r="C19" s="60"/>
      <c r="D19" s="61">
        <v>0.0</v>
      </c>
      <c r="E19" s="61">
        <v>0.0</v>
      </c>
      <c r="F19" s="61">
        <v>0.0</v>
      </c>
      <c r="G19" s="62">
        <v>0.0</v>
      </c>
      <c r="H19" s="63"/>
      <c r="I19" s="64"/>
      <c r="J19" s="65">
        <v>0.0</v>
      </c>
      <c r="K19" s="20">
        <v>0.0</v>
      </c>
      <c r="L19" s="20">
        <v>0.0</v>
      </c>
      <c r="M19" s="20">
        <v>0.0</v>
      </c>
      <c r="N19" s="66">
        <v>0.0</v>
      </c>
      <c r="O19" s="67"/>
      <c r="P19" s="68"/>
      <c r="Q19" s="69">
        <v>0.0</v>
      </c>
      <c r="R19" s="70">
        <v>0.0</v>
      </c>
      <c r="S19" s="70">
        <v>0.0</v>
      </c>
      <c r="T19" s="70">
        <v>0.0</v>
      </c>
      <c r="U19" s="70">
        <v>0.0</v>
      </c>
      <c r="V19" s="14"/>
      <c r="W19" s="14"/>
    </row>
    <row r="20">
      <c r="A20" s="45" t="s">
        <v>65</v>
      </c>
      <c r="B20" s="46" t="s">
        <v>47</v>
      </c>
      <c r="C20" s="47">
        <v>75.0</v>
      </c>
      <c r="D20" s="48">
        <f t="shared" ref="D20:G20" si="25">C20+D21</f>
        <v>75</v>
      </c>
      <c r="E20" s="48">
        <f t="shared" si="25"/>
        <v>75</v>
      </c>
      <c r="F20" s="48">
        <f t="shared" si="25"/>
        <v>75</v>
      </c>
      <c r="G20" s="49">
        <f t="shared" si="25"/>
        <v>75</v>
      </c>
      <c r="H20" s="72"/>
      <c r="I20" s="52"/>
      <c r="J20" s="52">
        <f>G20+J21</f>
        <v>75</v>
      </c>
      <c r="K20" s="25">
        <f t="shared" ref="K20:N20" si="26">J20+K21</f>
        <v>75</v>
      </c>
      <c r="L20" s="25">
        <f t="shared" si="26"/>
        <v>75</v>
      </c>
      <c r="M20" s="25">
        <f t="shared" si="26"/>
        <v>75</v>
      </c>
      <c r="N20" s="53">
        <f t="shared" si="26"/>
        <v>75</v>
      </c>
      <c r="O20" s="73"/>
      <c r="P20" s="56"/>
      <c r="Q20" s="56">
        <f>G20+Q21</f>
        <v>75</v>
      </c>
      <c r="R20" s="57">
        <f t="shared" ref="R20:U20" si="27">Q20+R21</f>
        <v>75</v>
      </c>
      <c r="S20" s="57">
        <f t="shared" si="27"/>
        <v>75</v>
      </c>
      <c r="T20" s="57">
        <f t="shared" si="27"/>
        <v>75</v>
      </c>
      <c r="U20" s="57">
        <f t="shared" si="27"/>
        <v>75</v>
      </c>
      <c r="V20" s="58" t="s">
        <v>66</v>
      </c>
      <c r="W20" s="58"/>
    </row>
    <row r="21">
      <c r="A21" s="14"/>
      <c r="B21" s="59" t="s">
        <v>50</v>
      </c>
      <c r="C21" s="60"/>
      <c r="D21" s="61">
        <v>0.0</v>
      </c>
      <c r="E21" s="61">
        <v>0.0</v>
      </c>
      <c r="F21" s="61">
        <v>0.0</v>
      </c>
      <c r="G21" s="62">
        <v>0.0</v>
      </c>
      <c r="H21" s="63"/>
      <c r="I21" s="64"/>
      <c r="J21" s="65">
        <v>0.0</v>
      </c>
      <c r="K21" s="20">
        <v>0.0</v>
      </c>
      <c r="L21" s="20">
        <v>0.0</v>
      </c>
      <c r="M21" s="20">
        <v>0.0</v>
      </c>
      <c r="N21" s="66">
        <v>0.0</v>
      </c>
      <c r="O21" s="67"/>
      <c r="P21" s="68"/>
      <c r="Q21" s="69">
        <v>0.0</v>
      </c>
      <c r="R21" s="70">
        <v>0.0</v>
      </c>
      <c r="S21" s="70">
        <v>0.0</v>
      </c>
      <c r="T21" s="70">
        <v>0.0</v>
      </c>
      <c r="U21" s="70">
        <v>0.0</v>
      </c>
      <c r="V21" s="14"/>
      <c r="W21" s="14"/>
    </row>
    <row r="22">
      <c r="A22" s="71" t="s">
        <v>67</v>
      </c>
      <c r="B22" s="46" t="s">
        <v>47</v>
      </c>
      <c r="C22" s="47">
        <v>0.0</v>
      </c>
      <c r="D22" s="48">
        <f t="shared" ref="D22:G22" si="28">C22+D23</f>
        <v>0</v>
      </c>
      <c r="E22" s="48">
        <f t="shared" si="28"/>
        <v>0</v>
      </c>
      <c r="F22" s="48">
        <f t="shared" si="28"/>
        <v>0</v>
      </c>
      <c r="G22" s="49">
        <f t="shared" si="28"/>
        <v>0</v>
      </c>
      <c r="H22" s="72"/>
      <c r="I22" s="52"/>
      <c r="J22" s="52">
        <f>G22+J23</f>
        <v>0</v>
      </c>
      <c r="K22" s="25">
        <f t="shared" ref="K22:N22" si="29">J22+K23</f>
        <v>0</v>
      </c>
      <c r="L22" s="25">
        <f t="shared" si="29"/>
        <v>0</v>
      </c>
      <c r="M22" s="25">
        <f t="shared" si="29"/>
        <v>0</v>
      </c>
      <c r="N22" s="53">
        <f t="shared" si="29"/>
        <v>0</v>
      </c>
      <c r="O22" s="73"/>
      <c r="P22" s="56"/>
      <c r="Q22" s="56">
        <f>G22+Q23</f>
        <v>0.5</v>
      </c>
      <c r="R22" s="57">
        <f t="shared" ref="R22:U22" si="30">Q22+R23</f>
        <v>0.5</v>
      </c>
      <c r="S22" s="57">
        <f t="shared" si="30"/>
        <v>0.5</v>
      </c>
      <c r="T22" s="57">
        <f t="shared" si="30"/>
        <v>0.5</v>
      </c>
      <c r="U22" s="57">
        <f t="shared" si="30"/>
        <v>0.5</v>
      </c>
      <c r="V22" s="74" t="s">
        <v>68</v>
      </c>
      <c r="W22" s="74"/>
    </row>
    <row r="23">
      <c r="A23" s="14"/>
      <c r="B23" s="59" t="s">
        <v>50</v>
      </c>
      <c r="C23" s="60"/>
      <c r="D23" s="61">
        <v>0.0</v>
      </c>
      <c r="E23" s="61">
        <v>0.0</v>
      </c>
      <c r="F23" s="61">
        <v>0.0</v>
      </c>
      <c r="G23" s="62">
        <v>0.0</v>
      </c>
      <c r="H23" s="76"/>
      <c r="I23" s="77"/>
      <c r="J23" s="65">
        <v>0.0</v>
      </c>
      <c r="K23" s="20">
        <v>0.0</v>
      </c>
      <c r="L23" s="20">
        <v>0.0</v>
      </c>
      <c r="M23" s="20">
        <v>0.0</v>
      </c>
      <c r="N23" s="66">
        <v>0.0</v>
      </c>
      <c r="O23" s="67"/>
      <c r="P23" s="68"/>
      <c r="Q23" s="69">
        <v>0.5</v>
      </c>
      <c r="R23" s="70">
        <v>0.0</v>
      </c>
      <c r="S23" s="70">
        <v>0.0</v>
      </c>
      <c r="T23" s="70">
        <v>0.0</v>
      </c>
      <c r="U23" s="70">
        <v>0.0</v>
      </c>
      <c r="V23" s="14"/>
      <c r="W23" s="14"/>
    </row>
    <row r="24">
      <c r="H24" s="40" t="s">
        <v>69</v>
      </c>
      <c r="I24" s="13"/>
      <c r="J24" s="6" t="s">
        <v>30</v>
      </c>
      <c r="K24" s="6">
        <v>7.0</v>
      </c>
      <c r="L24" s="6">
        <v>8.0</v>
      </c>
      <c r="M24" s="6">
        <v>9.0</v>
      </c>
      <c r="N24" s="6">
        <v>10.0</v>
      </c>
      <c r="O24" s="78" t="s">
        <v>69</v>
      </c>
      <c r="P24" s="79"/>
      <c r="Q24" s="44" t="s">
        <v>30</v>
      </c>
      <c r="R24" s="44">
        <v>7.0</v>
      </c>
      <c r="S24" s="44">
        <v>8.0</v>
      </c>
      <c r="T24" s="44">
        <v>9.0</v>
      </c>
      <c r="U24" s="44">
        <v>10.0</v>
      </c>
      <c r="V24" s="80"/>
      <c r="W24" s="80"/>
    </row>
    <row r="25">
      <c r="H25" s="81" t="s">
        <v>70</v>
      </c>
      <c r="I25" s="82" t="s">
        <v>47</v>
      </c>
      <c r="J25" s="26">
        <v>1.0</v>
      </c>
      <c r="K25" s="25">
        <f t="shared" ref="K25:N25" si="31">J25+K26</f>
        <v>1.25</v>
      </c>
      <c r="L25" s="25">
        <f t="shared" si="31"/>
        <v>1.5</v>
      </c>
      <c r="M25" s="25">
        <f t="shared" si="31"/>
        <v>1.75</v>
      </c>
      <c r="N25" s="25">
        <f t="shared" si="31"/>
        <v>3</v>
      </c>
      <c r="O25" s="83" t="s">
        <v>71</v>
      </c>
      <c r="P25" s="84" t="s">
        <v>47</v>
      </c>
      <c r="Q25" s="85">
        <v>2.0</v>
      </c>
      <c r="R25" s="57">
        <f t="shared" ref="R25:U25" si="32">Q25+R26</f>
        <v>2.5</v>
      </c>
      <c r="S25" s="57">
        <f t="shared" si="32"/>
        <v>3</v>
      </c>
      <c r="T25" s="57">
        <f t="shared" si="32"/>
        <v>3.5</v>
      </c>
      <c r="U25" s="57">
        <f t="shared" si="32"/>
        <v>6</v>
      </c>
      <c r="V25" s="58" t="s">
        <v>72</v>
      </c>
      <c r="W25" s="58"/>
    </row>
    <row r="26">
      <c r="H26" s="14"/>
      <c r="I26" s="86" t="s">
        <v>50</v>
      </c>
      <c r="J26" s="22"/>
      <c r="K26" s="20">
        <v>0.25</v>
      </c>
      <c r="L26" s="20">
        <v>0.25</v>
      </c>
      <c r="M26" s="20">
        <v>0.25</v>
      </c>
      <c r="N26" s="20">
        <v>1.25</v>
      </c>
      <c r="O26" s="14"/>
      <c r="P26" s="87" t="s">
        <v>50</v>
      </c>
      <c r="Q26" s="88"/>
      <c r="R26" s="70">
        <v>0.5</v>
      </c>
      <c r="S26" s="70">
        <v>0.5</v>
      </c>
      <c r="T26" s="70">
        <v>0.5</v>
      </c>
      <c r="U26" s="70">
        <v>2.5</v>
      </c>
      <c r="V26" s="14"/>
      <c r="W26" s="14"/>
    </row>
    <row r="27">
      <c r="H27" s="89" t="s">
        <v>73</v>
      </c>
      <c r="I27" s="82" t="s">
        <v>47</v>
      </c>
      <c r="J27" s="26">
        <v>3.0</v>
      </c>
      <c r="K27" s="25">
        <f t="shared" ref="K27:N27" si="33">J27+K28</f>
        <v>3.5</v>
      </c>
      <c r="L27" s="25">
        <f t="shared" si="33"/>
        <v>4</v>
      </c>
      <c r="M27" s="25">
        <f t="shared" si="33"/>
        <v>4.5</v>
      </c>
      <c r="N27" s="25">
        <f t="shared" si="33"/>
        <v>5</v>
      </c>
      <c r="O27" s="83"/>
      <c r="P27" s="84"/>
      <c r="Q27" s="57"/>
      <c r="R27" s="57"/>
      <c r="S27" s="57"/>
      <c r="T27" s="57"/>
      <c r="U27" s="57"/>
      <c r="V27" s="75"/>
      <c r="W27" s="75"/>
    </row>
    <row r="28">
      <c r="H28" s="14"/>
      <c r="I28" s="86" t="s">
        <v>50</v>
      </c>
      <c r="J28" s="22"/>
      <c r="K28" s="20">
        <v>0.5</v>
      </c>
      <c r="L28" s="20">
        <v>0.5</v>
      </c>
      <c r="M28" s="20">
        <v>0.5</v>
      </c>
      <c r="N28" s="20">
        <v>0.5</v>
      </c>
      <c r="O28" s="14"/>
      <c r="P28" s="87"/>
      <c r="Q28" s="88"/>
      <c r="R28" s="88"/>
      <c r="S28" s="88"/>
      <c r="T28" s="88"/>
      <c r="U28" s="88"/>
      <c r="V28" s="14"/>
      <c r="W28" s="14"/>
    </row>
    <row r="31">
      <c r="A31" s="27" t="s">
        <v>74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3"/>
    </row>
    <row r="32">
      <c r="A32" s="28" t="s">
        <v>41</v>
      </c>
      <c r="B32" s="12"/>
      <c r="C32" s="12"/>
      <c r="D32" s="12"/>
      <c r="E32" s="12"/>
      <c r="F32" s="12"/>
      <c r="G32" s="13"/>
      <c r="H32" s="29" t="s">
        <v>75</v>
      </c>
      <c r="I32" s="30"/>
      <c r="J32" s="30"/>
      <c r="K32" s="30"/>
      <c r="L32" s="30"/>
      <c r="M32" s="30"/>
      <c r="N32" s="31"/>
      <c r="O32" s="32" t="s">
        <v>76</v>
      </c>
      <c r="P32" s="30"/>
      <c r="Q32" s="30"/>
      <c r="R32" s="30"/>
      <c r="S32" s="30"/>
      <c r="T32" s="30"/>
      <c r="U32" s="31"/>
      <c r="V32" s="33" t="s">
        <v>77</v>
      </c>
      <c r="W32" s="33" t="s">
        <v>44</v>
      </c>
    </row>
    <row r="33">
      <c r="A33" s="35"/>
      <c r="B33" s="36"/>
      <c r="C33" s="36" t="s">
        <v>30</v>
      </c>
      <c r="D33" s="36">
        <v>2.0</v>
      </c>
      <c r="E33" s="36">
        <v>3.0</v>
      </c>
      <c r="F33" s="36">
        <v>4.0</v>
      </c>
      <c r="G33" s="28">
        <v>5.0</v>
      </c>
      <c r="H33" s="37"/>
      <c r="I33" s="38"/>
      <c r="J33" s="39">
        <v>6.0</v>
      </c>
      <c r="K33" s="6">
        <v>7.0</v>
      </c>
      <c r="L33" s="6">
        <v>8.0</v>
      </c>
      <c r="M33" s="6">
        <v>9.0</v>
      </c>
      <c r="N33" s="40">
        <v>10.0</v>
      </c>
      <c r="O33" s="41"/>
      <c r="P33" s="42"/>
      <c r="Q33" s="43">
        <v>6.0</v>
      </c>
      <c r="R33" s="44">
        <v>7.0</v>
      </c>
      <c r="S33" s="44">
        <v>8.0</v>
      </c>
      <c r="T33" s="44">
        <v>9.0</v>
      </c>
      <c r="U33" s="44">
        <v>10.0</v>
      </c>
      <c r="V33" s="14"/>
      <c r="W33" s="14"/>
    </row>
    <row r="34">
      <c r="A34" s="45" t="s">
        <v>46</v>
      </c>
      <c r="B34" s="90" t="s">
        <v>47</v>
      </c>
      <c r="C34" s="91">
        <v>70.0</v>
      </c>
      <c r="D34" s="92">
        <f t="shared" ref="D34:G34" si="34">C34+D35</f>
        <v>80</v>
      </c>
      <c r="E34" s="92">
        <f t="shared" si="34"/>
        <v>90</v>
      </c>
      <c r="F34" s="92">
        <f t="shared" si="34"/>
        <v>100</v>
      </c>
      <c r="G34" s="93">
        <f t="shared" si="34"/>
        <v>110</v>
      </c>
      <c r="H34" s="50"/>
      <c r="I34" s="94"/>
      <c r="J34" s="95">
        <f>G34+J35</f>
        <v>130</v>
      </c>
      <c r="K34" s="96">
        <f t="shared" ref="K34:N34" si="35">J34+K35</f>
        <v>150</v>
      </c>
      <c r="L34" s="96">
        <f t="shared" si="35"/>
        <v>170</v>
      </c>
      <c r="M34" s="96">
        <f t="shared" si="35"/>
        <v>190</v>
      </c>
      <c r="N34" s="97">
        <f t="shared" si="35"/>
        <v>250</v>
      </c>
      <c r="O34" s="54"/>
      <c r="P34" s="98"/>
      <c r="Q34" s="99">
        <f>G34+Q35</f>
        <v>120</v>
      </c>
      <c r="R34" s="100">
        <f t="shared" ref="R34:U34" si="36">Q34+R35</f>
        <v>130</v>
      </c>
      <c r="S34" s="100">
        <f t="shared" si="36"/>
        <v>140</v>
      </c>
      <c r="T34" s="100">
        <f t="shared" si="36"/>
        <v>150</v>
      </c>
      <c r="U34" s="100">
        <f t="shared" si="36"/>
        <v>175</v>
      </c>
      <c r="V34" s="58" t="s">
        <v>48</v>
      </c>
      <c r="W34" s="58" t="s">
        <v>60</v>
      </c>
    </row>
    <row r="35">
      <c r="A35" s="14"/>
      <c r="B35" s="101" t="s">
        <v>50</v>
      </c>
      <c r="C35" s="102"/>
      <c r="D35" s="103">
        <v>10.0</v>
      </c>
      <c r="E35" s="103">
        <v>10.0</v>
      </c>
      <c r="F35" s="103">
        <v>10.0</v>
      </c>
      <c r="G35" s="103">
        <v>10.0</v>
      </c>
      <c r="H35" s="63"/>
      <c r="I35" s="104"/>
      <c r="J35" s="105">
        <v>20.0</v>
      </c>
      <c r="K35" s="105">
        <v>20.0</v>
      </c>
      <c r="L35" s="105">
        <v>20.0</v>
      </c>
      <c r="M35" s="105">
        <v>20.0</v>
      </c>
      <c r="N35" s="105">
        <v>60.0</v>
      </c>
      <c r="O35" s="67"/>
      <c r="P35" s="106"/>
      <c r="Q35" s="107">
        <v>10.0</v>
      </c>
      <c r="R35" s="108">
        <v>10.0</v>
      </c>
      <c r="S35" s="108">
        <v>10.0</v>
      </c>
      <c r="T35" s="108">
        <v>10.0</v>
      </c>
      <c r="U35" s="108">
        <v>25.0</v>
      </c>
      <c r="V35" s="14"/>
      <c r="W35" s="14"/>
    </row>
    <row r="36">
      <c r="A36" s="71" t="s">
        <v>51</v>
      </c>
      <c r="B36" s="90" t="s">
        <v>47</v>
      </c>
      <c r="C36" s="91">
        <v>20.0</v>
      </c>
      <c r="D36" s="92">
        <f t="shared" ref="D36:G36" si="37">C36+D37</f>
        <v>20</v>
      </c>
      <c r="E36" s="92">
        <f t="shared" si="37"/>
        <v>20</v>
      </c>
      <c r="F36" s="92">
        <f t="shared" si="37"/>
        <v>20</v>
      </c>
      <c r="G36" s="93">
        <f t="shared" si="37"/>
        <v>20</v>
      </c>
      <c r="H36" s="72"/>
      <c r="I36" s="109"/>
      <c r="J36" s="95">
        <f>G36+J37</f>
        <v>25</v>
      </c>
      <c r="K36" s="96">
        <f t="shared" ref="K36:N36" si="38">J36+K37</f>
        <v>25</v>
      </c>
      <c r="L36" s="96">
        <f t="shared" si="38"/>
        <v>25</v>
      </c>
      <c r="M36" s="96">
        <f t="shared" si="38"/>
        <v>25</v>
      </c>
      <c r="N36" s="97">
        <f t="shared" si="38"/>
        <v>25</v>
      </c>
      <c r="O36" s="73"/>
      <c r="P36" s="110"/>
      <c r="Q36" s="99">
        <f>G36+Q37</f>
        <v>25</v>
      </c>
      <c r="R36" s="100">
        <f t="shared" ref="R36:U36" si="39">Q36+R37</f>
        <v>25</v>
      </c>
      <c r="S36" s="100">
        <f t="shared" si="39"/>
        <v>25</v>
      </c>
      <c r="T36" s="100">
        <f t="shared" si="39"/>
        <v>25</v>
      </c>
      <c r="U36" s="100">
        <f t="shared" si="39"/>
        <v>25</v>
      </c>
      <c r="V36" s="74" t="s">
        <v>64</v>
      </c>
      <c r="W36" s="75"/>
    </row>
    <row r="37">
      <c r="A37" s="14"/>
      <c r="B37" s="101" t="s">
        <v>50</v>
      </c>
      <c r="C37" s="102"/>
      <c r="D37" s="103">
        <v>0.0</v>
      </c>
      <c r="E37" s="103">
        <v>0.0</v>
      </c>
      <c r="F37" s="103">
        <v>0.0</v>
      </c>
      <c r="G37" s="103">
        <v>0.0</v>
      </c>
      <c r="H37" s="63"/>
      <c r="I37" s="104"/>
      <c r="J37" s="105">
        <v>5.0</v>
      </c>
      <c r="K37" s="111">
        <v>0.0</v>
      </c>
      <c r="L37" s="111">
        <v>0.0</v>
      </c>
      <c r="M37" s="111">
        <v>0.0</v>
      </c>
      <c r="N37" s="112">
        <v>0.0</v>
      </c>
      <c r="O37" s="67"/>
      <c r="P37" s="106"/>
      <c r="Q37" s="107">
        <v>5.0</v>
      </c>
      <c r="R37" s="108">
        <v>0.0</v>
      </c>
      <c r="S37" s="108">
        <v>0.0</v>
      </c>
      <c r="T37" s="108">
        <v>0.0</v>
      </c>
      <c r="U37" s="108">
        <v>0.0</v>
      </c>
      <c r="V37" s="14"/>
      <c r="W37" s="14"/>
    </row>
    <row r="38">
      <c r="A38" s="45" t="s">
        <v>78</v>
      </c>
      <c r="B38" s="90" t="s">
        <v>47</v>
      </c>
      <c r="C38" s="91">
        <v>1.0</v>
      </c>
      <c r="D38" s="92">
        <f t="shared" ref="D38:G38" si="40">C38+D39</f>
        <v>1.125</v>
      </c>
      <c r="E38" s="92">
        <f t="shared" si="40"/>
        <v>1.25</v>
      </c>
      <c r="F38" s="92">
        <f t="shared" si="40"/>
        <v>1.375</v>
      </c>
      <c r="G38" s="93">
        <f t="shared" si="40"/>
        <v>1.5</v>
      </c>
      <c r="H38" s="72"/>
      <c r="I38" s="109"/>
      <c r="J38" s="95">
        <f>G38+J39</f>
        <v>2</v>
      </c>
      <c r="K38" s="96">
        <f t="shared" ref="K38:N38" si="41">J38+K39</f>
        <v>2.25</v>
      </c>
      <c r="L38" s="96">
        <f t="shared" si="41"/>
        <v>2.5</v>
      </c>
      <c r="M38" s="96">
        <f t="shared" si="41"/>
        <v>2.75</v>
      </c>
      <c r="N38" s="97">
        <f t="shared" si="41"/>
        <v>3.5</v>
      </c>
      <c r="O38" s="73"/>
      <c r="P38" s="110"/>
      <c r="Q38" s="99">
        <f>G38+Q39</f>
        <v>0.75</v>
      </c>
      <c r="R38" s="100">
        <f t="shared" ref="R38:U38" si="42">Q38+R39</f>
        <v>0.875</v>
      </c>
      <c r="S38" s="100">
        <f t="shared" si="42"/>
        <v>1</v>
      </c>
      <c r="T38" s="100">
        <f t="shared" si="42"/>
        <v>1.125</v>
      </c>
      <c r="U38" s="100">
        <f t="shared" si="42"/>
        <v>1.25</v>
      </c>
      <c r="V38" s="58" t="s">
        <v>54</v>
      </c>
      <c r="W38" s="58"/>
    </row>
    <row r="39">
      <c r="A39" s="14"/>
      <c r="B39" s="101" t="s">
        <v>50</v>
      </c>
      <c r="C39" s="102"/>
      <c r="D39" s="103">
        <v>0.125</v>
      </c>
      <c r="E39" s="103">
        <v>0.125</v>
      </c>
      <c r="F39" s="103">
        <v>0.125</v>
      </c>
      <c r="G39" s="103">
        <v>0.125</v>
      </c>
      <c r="H39" s="63"/>
      <c r="I39" s="104"/>
      <c r="J39" s="105">
        <v>0.5</v>
      </c>
      <c r="K39" s="111">
        <v>0.25</v>
      </c>
      <c r="L39" s="111">
        <v>0.25</v>
      </c>
      <c r="M39" s="111">
        <v>0.25</v>
      </c>
      <c r="N39" s="112">
        <v>0.75</v>
      </c>
      <c r="O39" s="67"/>
      <c r="P39" s="106"/>
      <c r="Q39" s="107">
        <v>-0.75</v>
      </c>
      <c r="R39" s="107">
        <v>0.125</v>
      </c>
      <c r="S39" s="107">
        <v>0.125</v>
      </c>
      <c r="T39" s="107">
        <v>0.125</v>
      </c>
      <c r="U39" s="107">
        <v>0.125</v>
      </c>
      <c r="V39" s="14"/>
      <c r="W39" s="14"/>
    </row>
    <row r="40">
      <c r="A40" s="71" t="s">
        <v>53</v>
      </c>
      <c r="B40" s="90" t="s">
        <v>47</v>
      </c>
      <c r="C40" s="91">
        <v>40.0</v>
      </c>
      <c r="D40" s="92">
        <f t="shared" ref="D40:G40" si="43">C40+D41</f>
        <v>40</v>
      </c>
      <c r="E40" s="92">
        <f t="shared" si="43"/>
        <v>40</v>
      </c>
      <c r="F40" s="92">
        <f t="shared" si="43"/>
        <v>40</v>
      </c>
      <c r="G40" s="93">
        <f t="shared" si="43"/>
        <v>40</v>
      </c>
      <c r="H40" s="72"/>
      <c r="I40" s="109"/>
      <c r="J40" s="95">
        <f>G40+J41</f>
        <v>50</v>
      </c>
      <c r="K40" s="96">
        <f t="shared" ref="K40:N40" si="44">J40+K41</f>
        <v>50</v>
      </c>
      <c r="L40" s="96">
        <f t="shared" si="44"/>
        <v>50</v>
      </c>
      <c r="M40" s="96">
        <f t="shared" si="44"/>
        <v>50</v>
      </c>
      <c r="N40" s="97">
        <f t="shared" si="44"/>
        <v>50</v>
      </c>
      <c r="O40" s="73"/>
      <c r="P40" s="110"/>
      <c r="Q40" s="99">
        <f>G40+Q41</f>
        <v>50</v>
      </c>
      <c r="R40" s="100">
        <f t="shared" ref="R40:U40" si="45">Q40+R41</f>
        <v>50</v>
      </c>
      <c r="S40" s="100">
        <f t="shared" si="45"/>
        <v>50</v>
      </c>
      <c r="T40" s="100">
        <f t="shared" si="45"/>
        <v>50</v>
      </c>
      <c r="U40" s="100">
        <f t="shared" si="45"/>
        <v>50</v>
      </c>
      <c r="V40" s="74" t="s">
        <v>64</v>
      </c>
      <c r="W40" s="75"/>
    </row>
    <row r="41">
      <c r="A41" s="14"/>
      <c r="B41" s="101" t="s">
        <v>50</v>
      </c>
      <c r="C41" s="102"/>
      <c r="D41" s="103">
        <v>0.0</v>
      </c>
      <c r="E41" s="103">
        <v>0.0</v>
      </c>
      <c r="F41" s="103">
        <v>0.0</v>
      </c>
      <c r="G41" s="103">
        <v>0.0</v>
      </c>
      <c r="H41" s="63"/>
      <c r="I41" s="104"/>
      <c r="J41" s="105">
        <v>10.0</v>
      </c>
      <c r="K41" s="111">
        <v>0.0</v>
      </c>
      <c r="L41" s="111">
        <v>0.0</v>
      </c>
      <c r="M41" s="111">
        <v>0.0</v>
      </c>
      <c r="N41" s="112">
        <v>0.0</v>
      </c>
      <c r="O41" s="67"/>
      <c r="P41" s="106"/>
      <c r="Q41" s="107">
        <v>10.0</v>
      </c>
      <c r="R41" s="108">
        <v>0.0</v>
      </c>
      <c r="S41" s="108">
        <v>0.0</v>
      </c>
      <c r="T41" s="108">
        <v>0.0</v>
      </c>
      <c r="U41" s="108">
        <v>0.0</v>
      </c>
      <c r="V41" s="14"/>
      <c r="W41" s="14"/>
    </row>
    <row r="42">
      <c r="A42" s="45" t="s">
        <v>79</v>
      </c>
      <c r="B42" s="90" t="s">
        <v>47</v>
      </c>
      <c r="C42" s="91">
        <v>2.0</v>
      </c>
      <c r="D42" s="92">
        <f t="shared" ref="D42:G42" si="46">C42+D43</f>
        <v>2.25</v>
      </c>
      <c r="E42" s="92">
        <f t="shared" si="46"/>
        <v>2.5</v>
      </c>
      <c r="F42" s="92">
        <f t="shared" si="46"/>
        <v>2.75</v>
      </c>
      <c r="G42" s="93">
        <f t="shared" si="46"/>
        <v>3</v>
      </c>
      <c r="H42" s="72"/>
      <c r="I42" s="109"/>
      <c r="J42" s="95">
        <f>G42+J43</f>
        <v>3.5</v>
      </c>
      <c r="K42" s="96">
        <f t="shared" ref="K42:N42" si="47">J42+K43</f>
        <v>3.75</v>
      </c>
      <c r="L42" s="96">
        <f t="shared" si="47"/>
        <v>4</v>
      </c>
      <c r="M42" s="96">
        <f t="shared" si="47"/>
        <v>4.25</v>
      </c>
      <c r="N42" s="97">
        <f t="shared" si="47"/>
        <v>5</v>
      </c>
      <c r="O42" s="73"/>
      <c r="P42" s="110"/>
      <c r="Q42" s="99">
        <f>G42+Q43</f>
        <v>1.5</v>
      </c>
      <c r="R42" s="100">
        <f t="shared" ref="R42:U42" si="48">Q42+R43</f>
        <v>1.625</v>
      </c>
      <c r="S42" s="100">
        <f t="shared" si="48"/>
        <v>1.75</v>
      </c>
      <c r="T42" s="100">
        <f t="shared" si="48"/>
        <v>1.875</v>
      </c>
      <c r="U42" s="100">
        <f t="shared" si="48"/>
        <v>2</v>
      </c>
      <c r="V42" s="58" t="s">
        <v>54</v>
      </c>
      <c r="W42" s="58"/>
    </row>
    <row r="43">
      <c r="A43" s="14"/>
      <c r="B43" s="101" t="s">
        <v>50</v>
      </c>
      <c r="C43" s="102"/>
      <c r="D43" s="103">
        <v>0.25</v>
      </c>
      <c r="E43" s="103">
        <v>0.25</v>
      </c>
      <c r="F43" s="103">
        <v>0.25</v>
      </c>
      <c r="G43" s="103">
        <v>0.25</v>
      </c>
      <c r="H43" s="63"/>
      <c r="I43" s="104"/>
      <c r="J43" s="105">
        <v>0.5</v>
      </c>
      <c r="K43" s="105">
        <v>0.25</v>
      </c>
      <c r="L43" s="105">
        <v>0.25</v>
      </c>
      <c r="M43" s="105">
        <v>0.25</v>
      </c>
      <c r="N43" s="112">
        <v>0.75</v>
      </c>
      <c r="O43" s="67"/>
      <c r="P43" s="106"/>
      <c r="Q43" s="107">
        <v>-1.5</v>
      </c>
      <c r="R43" s="108">
        <v>0.125</v>
      </c>
      <c r="S43" s="108">
        <v>0.125</v>
      </c>
      <c r="T43" s="108">
        <v>0.125</v>
      </c>
      <c r="U43" s="108">
        <v>0.125</v>
      </c>
      <c r="V43" s="14"/>
      <c r="W43" s="14"/>
    </row>
    <row r="44">
      <c r="A44" s="71" t="s">
        <v>55</v>
      </c>
      <c r="B44" s="90" t="s">
        <v>47</v>
      </c>
      <c r="C44" s="91">
        <v>40.0</v>
      </c>
      <c r="D44" s="92">
        <f t="shared" ref="D44:G44" si="49">C44+D45</f>
        <v>45</v>
      </c>
      <c r="E44" s="92">
        <f t="shared" si="49"/>
        <v>50</v>
      </c>
      <c r="F44" s="92">
        <f t="shared" si="49"/>
        <v>55</v>
      </c>
      <c r="G44" s="93">
        <f t="shared" si="49"/>
        <v>60</v>
      </c>
      <c r="H44" s="72"/>
      <c r="I44" s="109"/>
      <c r="J44" s="95">
        <f>G44+J45</f>
        <v>70</v>
      </c>
      <c r="K44" s="96">
        <f t="shared" ref="K44:N44" si="50">J44+K45</f>
        <v>75</v>
      </c>
      <c r="L44" s="96">
        <f t="shared" si="50"/>
        <v>80</v>
      </c>
      <c r="M44" s="96">
        <f t="shared" si="50"/>
        <v>85</v>
      </c>
      <c r="N44" s="97">
        <f t="shared" si="50"/>
        <v>100</v>
      </c>
      <c r="O44" s="73"/>
      <c r="P44" s="110"/>
      <c r="Q44" s="99">
        <f>G44+Q45</f>
        <v>70</v>
      </c>
      <c r="R44" s="100">
        <f t="shared" ref="R44:U44" si="51">Q44+R45</f>
        <v>75</v>
      </c>
      <c r="S44" s="100">
        <f t="shared" si="51"/>
        <v>80</v>
      </c>
      <c r="T44" s="100">
        <f t="shared" si="51"/>
        <v>85</v>
      </c>
      <c r="U44" s="100">
        <f t="shared" si="51"/>
        <v>100</v>
      </c>
      <c r="V44" s="74" t="s">
        <v>56</v>
      </c>
      <c r="W44" s="75"/>
    </row>
    <row r="45">
      <c r="A45" s="14"/>
      <c r="B45" s="101" t="s">
        <v>50</v>
      </c>
      <c r="C45" s="102"/>
      <c r="D45" s="103">
        <v>5.0</v>
      </c>
      <c r="E45" s="103">
        <v>5.0</v>
      </c>
      <c r="F45" s="103">
        <v>5.0</v>
      </c>
      <c r="G45" s="103">
        <v>5.0</v>
      </c>
      <c r="H45" s="63"/>
      <c r="I45" s="104"/>
      <c r="J45" s="105">
        <v>10.0</v>
      </c>
      <c r="K45" s="105">
        <v>5.0</v>
      </c>
      <c r="L45" s="105">
        <v>5.0</v>
      </c>
      <c r="M45" s="105">
        <v>5.0</v>
      </c>
      <c r="N45" s="105">
        <v>15.0</v>
      </c>
      <c r="O45" s="67"/>
      <c r="P45" s="106"/>
      <c r="Q45" s="113">
        <v>10.0</v>
      </c>
      <c r="R45" s="114">
        <v>5.0</v>
      </c>
      <c r="S45" s="114">
        <v>5.0</v>
      </c>
      <c r="T45" s="114">
        <v>5.0</v>
      </c>
      <c r="U45" s="114">
        <v>15.0</v>
      </c>
      <c r="V45" s="14"/>
      <c r="W45" s="14"/>
    </row>
    <row r="46">
      <c r="A46" s="45" t="s">
        <v>80</v>
      </c>
      <c r="B46" s="115" t="s">
        <v>47</v>
      </c>
      <c r="C46" s="91">
        <v>0.5</v>
      </c>
      <c r="D46" s="91">
        <v>0.5</v>
      </c>
      <c r="E46" s="91">
        <v>0.5</v>
      </c>
      <c r="F46" s="91">
        <v>0.5</v>
      </c>
      <c r="G46" s="91">
        <v>0.5</v>
      </c>
      <c r="H46" s="72"/>
      <c r="I46" s="109"/>
      <c r="J46" s="95">
        <f>G46+J47</f>
        <v>0.5</v>
      </c>
      <c r="K46" s="96">
        <f t="shared" ref="K46:N46" si="52">J46+K47</f>
        <v>0.5</v>
      </c>
      <c r="L46" s="96">
        <f t="shared" si="52"/>
        <v>0.5</v>
      </c>
      <c r="M46" s="96">
        <f t="shared" si="52"/>
        <v>0.5</v>
      </c>
      <c r="N46" s="97">
        <f t="shared" si="52"/>
        <v>0.5</v>
      </c>
      <c r="O46" s="73"/>
      <c r="P46" s="110"/>
      <c r="Q46" s="99">
        <f>G46+Q47</f>
        <v>0.5</v>
      </c>
      <c r="R46" s="100">
        <f t="shared" ref="R46:U46" si="53">Q46+R47</f>
        <v>0.5</v>
      </c>
      <c r="S46" s="100">
        <f t="shared" si="53"/>
        <v>0.5</v>
      </c>
      <c r="T46" s="100">
        <f t="shared" si="53"/>
        <v>0.5</v>
      </c>
      <c r="U46" s="100">
        <f t="shared" si="53"/>
        <v>0.5</v>
      </c>
      <c r="V46" s="58" t="s">
        <v>81</v>
      </c>
      <c r="W46" s="58"/>
    </row>
    <row r="47">
      <c r="A47" s="14"/>
      <c r="B47" s="116" t="s">
        <v>50</v>
      </c>
      <c r="C47" s="103"/>
      <c r="D47" s="103">
        <v>0.0</v>
      </c>
      <c r="E47" s="103">
        <v>0.0</v>
      </c>
      <c r="F47" s="103">
        <v>0.0</v>
      </c>
      <c r="G47" s="117">
        <v>0.0</v>
      </c>
      <c r="H47" s="63"/>
      <c r="I47" s="104"/>
      <c r="J47" s="105">
        <v>0.0</v>
      </c>
      <c r="K47" s="105">
        <v>0.0</v>
      </c>
      <c r="L47" s="105">
        <v>0.0</v>
      </c>
      <c r="M47" s="105">
        <v>0.0</v>
      </c>
      <c r="N47" s="118">
        <v>0.0</v>
      </c>
      <c r="O47" s="67"/>
      <c r="P47" s="106"/>
      <c r="Q47" s="107">
        <v>0.0</v>
      </c>
      <c r="R47" s="108">
        <v>0.0</v>
      </c>
      <c r="S47" s="108">
        <v>0.0</v>
      </c>
      <c r="T47" s="108">
        <v>0.0</v>
      </c>
      <c r="U47" s="108">
        <v>0.0</v>
      </c>
      <c r="V47" s="14"/>
      <c r="W47" s="14"/>
    </row>
    <row r="48">
      <c r="A48" s="71" t="s">
        <v>82</v>
      </c>
      <c r="B48" s="90" t="s">
        <v>47</v>
      </c>
      <c r="C48" s="91">
        <v>0.5</v>
      </c>
      <c r="D48" s="92">
        <f t="shared" ref="D48:G48" si="54">C48+D49</f>
        <v>0.5</v>
      </c>
      <c r="E48" s="92">
        <f t="shared" si="54"/>
        <v>0.5</v>
      </c>
      <c r="F48" s="92">
        <f t="shared" si="54"/>
        <v>0.5</v>
      </c>
      <c r="G48" s="93">
        <f t="shared" si="54"/>
        <v>0.5</v>
      </c>
      <c r="H48" s="72"/>
      <c r="I48" s="109"/>
      <c r="J48" s="95">
        <f>G48+J49</f>
        <v>1</v>
      </c>
      <c r="K48" s="96">
        <f t="shared" ref="K48:N48" si="55">J48+K49</f>
        <v>1.125</v>
      </c>
      <c r="L48" s="96">
        <f t="shared" si="55"/>
        <v>1.25</v>
      </c>
      <c r="M48" s="96">
        <f t="shared" si="55"/>
        <v>1.375</v>
      </c>
      <c r="N48" s="97">
        <f t="shared" si="55"/>
        <v>1.75</v>
      </c>
      <c r="O48" s="73"/>
      <c r="P48" s="110"/>
      <c r="Q48" s="99">
        <f>G48+Q49</f>
        <v>0.5</v>
      </c>
      <c r="R48" s="100">
        <f t="shared" ref="R48:U48" si="56">Q48+R49</f>
        <v>0.625</v>
      </c>
      <c r="S48" s="100">
        <f t="shared" si="56"/>
        <v>0.75</v>
      </c>
      <c r="T48" s="100">
        <f t="shared" si="56"/>
        <v>0.875</v>
      </c>
      <c r="U48" s="100">
        <f t="shared" si="56"/>
        <v>1</v>
      </c>
      <c r="V48" s="74" t="s">
        <v>52</v>
      </c>
      <c r="W48" s="75"/>
    </row>
    <row r="49">
      <c r="A49" s="14"/>
      <c r="B49" s="101" t="s">
        <v>50</v>
      </c>
      <c r="C49" s="102"/>
      <c r="D49" s="103">
        <v>0.0</v>
      </c>
      <c r="E49" s="103">
        <v>0.0</v>
      </c>
      <c r="F49" s="103">
        <v>0.0</v>
      </c>
      <c r="G49" s="117">
        <v>0.0</v>
      </c>
      <c r="H49" s="63"/>
      <c r="I49" s="104"/>
      <c r="J49" s="105">
        <v>0.5</v>
      </c>
      <c r="K49" s="111">
        <v>0.125</v>
      </c>
      <c r="L49" s="111">
        <v>0.125</v>
      </c>
      <c r="M49" s="111">
        <v>0.125</v>
      </c>
      <c r="N49" s="111">
        <v>0.375</v>
      </c>
      <c r="O49" s="67"/>
      <c r="P49" s="106"/>
      <c r="Q49" s="107">
        <v>0.0</v>
      </c>
      <c r="R49" s="106">
        <v>0.125</v>
      </c>
      <c r="S49" s="106">
        <v>0.125</v>
      </c>
      <c r="T49" s="106">
        <v>0.125</v>
      </c>
      <c r="U49" s="106">
        <v>0.125</v>
      </c>
      <c r="V49" s="14"/>
      <c r="W49" s="14"/>
    </row>
    <row r="50">
      <c r="A50" s="45" t="s">
        <v>58</v>
      </c>
      <c r="B50" s="46" t="s">
        <v>47</v>
      </c>
      <c r="C50" s="91">
        <v>70.0</v>
      </c>
      <c r="D50" s="92">
        <f t="shared" ref="D50:G50" si="57">C50+D51</f>
        <v>80</v>
      </c>
      <c r="E50" s="92">
        <f t="shared" si="57"/>
        <v>90</v>
      </c>
      <c r="F50" s="92">
        <f t="shared" si="57"/>
        <v>100</v>
      </c>
      <c r="G50" s="93">
        <f t="shared" si="57"/>
        <v>110</v>
      </c>
      <c r="H50" s="50"/>
      <c r="I50" s="94"/>
      <c r="J50" s="95">
        <f>G50+J51</f>
        <v>130</v>
      </c>
      <c r="K50" s="96">
        <f t="shared" ref="K50:N50" si="58">J50+K51</f>
        <v>150</v>
      </c>
      <c r="L50" s="96">
        <f t="shared" si="58"/>
        <v>170</v>
      </c>
      <c r="M50" s="96">
        <f t="shared" si="58"/>
        <v>190</v>
      </c>
      <c r="N50" s="97">
        <f t="shared" si="58"/>
        <v>250</v>
      </c>
      <c r="O50" s="54"/>
      <c r="P50" s="98"/>
      <c r="Q50" s="99">
        <f>G50+Q51</f>
        <v>120</v>
      </c>
      <c r="R50" s="100">
        <f t="shared" ref="R50:U50" si="59">Q50+R51</f>
        <v>130</v>
      </c>
      <c r="S50" s="100">
        <f t="shared" si="59"/>
        <v>140</v>
      </c>
      <c r="T50" s="100">
        <f t="shared" si="59"/>
        <v>150</v>
      </c>
      <c r="U50" s="100">
        <f t="shared" si="59"/>
        <v>175</v>
      </c>
      <c r="V50" s="58" t="s">
        <v>59</v>
      </c>
      <c r="W50" s="58" t="s">
        <v>60</v>
      </c>
    </row>
    <row r="51">
      <c r="A51" s="14"/>
      <c r="B51" s="59" t="s">
        <v>50</v>
      </c>
      <c r="C51" s="102"/>
      <c r="D51" s="103">
        <v>10.0</v>
      </c>
      <c r="E51" s="103">
        <v>10.0</v>
      </c>
      <c r="F51" s="103">
        <v>10.0</v>
      </c>
      <c r="G51" s="103">
        <v>10.0</v>
      </c>
      <c r="H51" s="63"/>
      <c r="I51" s="104"/>
      <c r="J51" s="105">
        <v>20.0</v>
      </c>
      <c r="K51" s="105">
        <v>20.0</v>
      </c>
      <c r="L51" s="105">
        <v>20.0</v>
      </c>
      <c r="M51" s="105">
        <v>20.0</v>
      </c>
      <c r="N51" s="105">
        <v>60.0</v>
      </c>
      <c r="O51" s="67"/>
      <c r="P51" s="106"/>
      <c r="Q51" s="107">
        <v>10.0</v>
      </c>
      <c r="R51" s="108">
        <v>10.0</v>
      </c>
      <c r="S51" s="108">
        <v>10.0</v>
      </c>
      <c r="T51" s="108">
        <v>10.0</v>
      </c>
      <c r="U51" s="108">
        <v>25.0</v>
      </c>
      <c r="V51" s="14"/>
      <c r="W51" s="14"/>
    </row>
    <row r="52">
      <c r="A52" s="71" t="s">
        <v>61</v>
      </c>
      <c r="B52" s="90" t="s">
        <v>47</v>
      </c>
      <c r="C52" s="91">
        <v>8.0</v>
      </c>
      <c r="D52" s="92">
        <f t="shared" ref="D52:G52" si="60">C52+D53</f>
        <v>8</v>
      </c>
      <c r="E52" s="92">
        <f t="shared" si="60"/>
        <v>8</v>
      </c>
      <c r="F52" s="92">
        <f t="shared" si="60"/>
        <v>8</v>
      </c>
      <c r="G52" s="93">
        <f t="shared" si="60"/>
        <v>7</v>
      </c>
      <c r="H52" s="72"/>
      <c r="I52" s="109"/>
      <c r="J52" s="95">
        <f>G52+J53</f>
        <v>7</v>
      </c>
      <c r="K52" s="96">
        <f t="shared" ref="K52:N52" si="61">J52+K53</f>
        <v>7</v>
      </c>
      <c r="L52" s="96">
        <f t="shared" si="61"/>
        <v>7</v>
      </c>
      <c r="M52" s="96">
        <f t="shared" si="61"/>
        <v>6</v>
      </c>
      <c r="N52" s="97">
        <f t="shared" si="61"/>
        <v>4</v>
      </c>
      <c r="O52" s="73"/>
      <c r="P52" s="110"/>
      <c r="Q52" s="99">
        <f>G52+Q53</f>
        <v>7</v>
      </c>
      <c r="R52" s="100">
        <f t="shared" ref="R52:U52" si="62">Q52+R53</f>
        <v>7</v>
      </c>
      <c r="S52" s="100">
        <f t="shared" si="62"/>
        <v>7</v>
      </c>
      <c r="T52" s="100">
        <f t="shared" si="62"/>
        <v>6</v>
      </c>
      <c r="U52" s="100">
        <f t="shared" si="62"/>
        <v>4</v>
      </c>
      <c r="V52" s="74" t="s">
        <v>62</v>
      </c>
      <c r="W52" s="74"/>
    </row>
    <row r="53">
      <c r="A53" s="14"/>
      <c r="B53" s="101" t="s">
        <v>50</v>
      </c>
      <c r="C53" s="102"/>
      <c r="D53" s="103">
        <v>0.0</v>
      </c>
      <c r="E53" s="103">
        <v>0.0</v>
      </c>
      <c r="F53" s="103">
        <v>0.0</v>
      </c>
      <c r="G53" s="103">
        <v>-1.0</v>
      </c>
      <c r="H53" s="63"/>
      <c r="I53" s="104"/>
      <c r="J53" s="105">
        <v>0.0</v>
      </c>
      <c r="K53" s="111">
        <v>0.0</v>
      </c>
      <c r="L53" s="111">
        <v>0.0</v>
      </c>
      <c r="M53" s="111">
        <v>-1.0</v>
      </c>
      <c r="N53" s="112">
        <v>-2.0</v>
      </c>
      <c r="O53" s="67"/>
      <c r="P53" s="106"/>
      <c r="Q53" s="107">
        <v>0.0</v>
      </c>
      <c r="R53" s="108">
        <v>0.0</v>
      </c>
      <c r="S53" s="108">
        <v>0.0</v>
      </c>
      <c r="T53" s="108">
        <v>-1.0</v>
      </c>
      <c r="U53" s="108">
        <v>-2.0</v>
      </c>
      <c r="V53" s="14"/>
      <c r="W53" s="14"/>
    </row>
    <row r="54">
      <c r="A54" s="45" t="s">
        <v>63</v>
      </c>
      <c r="B54" s="90" t="s">
        <v>47</v>
      </c>
      <c r="C54" s="91">
        <v>0.0</v>
      </c>
      <c r="D54" s="92">
        <f t="shared" ref="D54:G54" si="63">C54+D55</f>
        <v>0</v>
      </c>
      <c r="E54" s="92">
        <f t="shared" si="63"/>
        <v>0</v>
      </c>
      <c r="F54" s="92">
        <f t="shared" si="63"/>
        <v>0</v>
      </c>
      <c r="G54" s="93">
        <f t="shared" si="63"/>
        <v>10</v>
      </c>
      <c r="H54" s="72"/>
      <c r="I54" s="109"/>
      <c r="J54" s="95">
        <f>G54+J55</f>
        <v>10</v>
      </c>
      <c r="K54" s="96">
        <f t="shared" ref="K54:N54" si="64">J54+K55</f>
        <v>10</v>
      </c>
      <c r="L54" s="96">
        <f t="shared" si="64"/>
        <v>10</v>
      </c>
      <c r="M54" s="96">
        <f t="shared" si="64"/>
        <v>10</v>
      </c>
      <c r="N54" s="97">
        <f t="shared" si="64"/>
        <v>10</v>
      </c>
      <c r="O54" s="73"/>
      <c r="P54" s="110"/>
      <c r="Q54" s="99">
        <f>G54+Q55</f>
        <v>10</v>
      </c>
      <c r="R54" s="100">
        <f t="shared" ref="R54:U54" si="65">Q54+R55</f>
        <v>10</v>
      </c>
      <c r="S54" s="100">
        <f t="shared" si="65"/>
        <v>10</v>
      </c>
      <c r="T54" s="100">
        <f t="shared" si="65"/>
        <v>10</v>
      </c>
      <c r="U54" s="100">
        <f t="shared" si="65"/>
        <v>10</v>
      </c>
      <c r="V54" s="58" t="s">
        <v>83</v>
      </c>
      <c r="W54" s="119"/>
    </row>
    <row r="55">
      <c r="A55" s="14"/>
      <c r="B55" s="101" t="s">
        <v>50</v>
      </c>
      <c r="C55" s="102"/>
      <c r="D55" s="103">
        <v>0.0</v>
      </c>
      <c r="E55" s="103">
        <v>0.0</v>
      </c>
      <c r="F55" s="103">
        <v>0.0</v>
      </c>
      <c r="G55" s="117">
        <v>10.0</v>
      </c>
      <c r="H55" s="63"/>
      <c r="I55" s="104"/>
      <c r="J55" s="105">
        <v>0.0</v>
      </c>
      <c r="K55" s="111">
        <v>0.0</v>
      </c>
      <c r="L55" s="111">
        <v>0.0</v>
      </c>
      <c r="M55" s="111">
        <v>0.0</v>
      </c>
      <c r="N55" s="112">
        <v>0.0</v>
      </c>
      <c r="O55" s="67"/>
      <c r="P55" s="106"/>
      <c r="Q55" s="107">
        <v>0.0</v>
      </c>
      <c r="R55" s="108">
        <v>0.0</v>
      </c>
      <c r="S55" s="108">
        <v>0.0</v>
      </c>
      <c r="T55" s="108">
        <v>0.0</v>
      </c>
      <c r="U55" s="108">
        <v>0.0</v>
      </c>
      <c r="V55" s="14"/>
      <c r="W55" s="14"/>
    </row>
    <row r="56">
      <c r="A56" s="71" t="s">
        <v>65</v>
      </c>
      <c r="B56" s="90" t="s">
        <v>47</v>
      </c>
      <c r="C56" s="91">
        <v>100.0</v>
      </c>
      <c r="D56" s="92">
        <f t="shared" ref="D56:G56" si="66">C56+D57</f>
        <v>100</v>
      </c>
      <c r="E56" s="92">
        <f t="shared" si="66"/>
        <v>100</v>
      </c>
      <c r="F56" s="92">
        <f t="shared" si="66"/>
        <v>100</v>
      </c>
      <c r="G56" s="93">
        <f t="shared" si="66"/>
        <v>100</v>
      </c>
      <c r="H56" s="72"/>
      <c r="I56" s="109"/>
      <c r="J56" s="95">
        <f>G56+J57</f>
        <v>100</v>
      </c>
      <c r="K56" s="96">
        <f t="shared" ref="K56:N56" si="67">J56+K57</f>
        <v>100</v>
      </c>
      <c r="L56" s="96">
        <f t="shared" si="67"/>
        <v>100</v>
      </c>
      <c r="M56" s="96">
        <f t="shared" si="67"/>
        <v>100</v>
      </c>
      <c r="N56" s="97">
        <f t="shared" si="67"/>
        <v>100</v>
      </c>
      <c r="O56" s="73"/>
      <c r="P56" s="110"/>
      <c r="Q56" s="99">
        <f>G56+Q57</f>
        <v>100</v>
      </c>
      <c r="R56" s="100">
        <f t="shared" ref="R56:U56" si="68">Q56+R57</f>
        <v>100</v>
      </c>
      <c r="S56" s="100">
        <f t="shared" si="68"/>
        <v>100</v>
      </c>
      <c r="T56" s="100">
        <f t="shared" si="68"/>
        <v>100</v>
      </c>
      <c r="U56" s="100">
        <f t="shared" si="68"/>
        <v>100</v>
      </c>
      <c r="V56" s="74" t="s">
        <v>66</v>
      </c>
      <c r="W56" s="74"/>
    </row>
    <row r="57">
      <c r="A57" s="14"/>
      <c r="B57" s="101" t="s">
        <v>50</v>
      </c>
      <c r="C57" s="102"/>
      <c r="D57" s="103">
        <v>0.0</v>
      </c>
      <c r="E57" s="103">
        <v>0.0</v>
      </c>
      <c r="F57" s="103">
        <v>0.0</v>
      </c>
      <c r="G57" s="117">
        <v>0.0</v>
      </c>
      <c r="H57" s="63"/>
      <c r="I57" s="104"/>
      <c r="J57" s="105">
        <v>0.0</v>
      </c>
      <c r="K57" s="111">
        <v>0.0</v>
      </c>
      <c r="L57" s="111">
        <v>0.0</v>
      </c>
      <c r="M57" s="111">
        <v>0.0</v>
      </c>
      <c r="N57" s="112">
        <v>0.0</v>
      </c>
      <c r="O57" s="67"/>
      <c r="P57" s="106"/>
      <c r="Q57" s="107">
        <v>0.0</v>
      </c>
      <c r="R57" s="108">
        <v>0.0</v>
      </c>
      <c r="S57" s="108">
        <v>0.0</v>
      </c>
      <c r="T57" s="108">
        <v>0.0</v>
      </c>
      <c r="U57" s="108">
        <v>0.0</v>
      </c>
      <c r="V57" s="14"/>
      <c r="W57" s="14"/>
    </row>
    <row r="58">
      <c r="A58" s="45" t="s">
        <v>67</v>
      </c>
      <c r="B58" s="90" t="s">
        <v>47</v>
      </c>
      <c r="C58" s="91">
        <v>1.5</v>
      </c>
      <c r="D58" s="92">
        <f t="shared" ref="D58:G58" si="69">C58+D59</f>
        <v>1.5</v>
      </c>
      <c r="E58" s="92">
        <f t="shared" si="69"/>
        <v>1.5</v>
      </c>
      <c r="F58" s="92">
        <f t="shared" si="69"/>
        <v>1.5</v>
      </c>
      <c r="G58" s="93">
        <f t="shared" si="69"/>
        <v>1.5</v>
      </c>
      <c r="H58" s="72"/>
      <c r="I58" s="109"/>
      <c r="J58" s="95">
        <f>G58+J59</f>
        <v>6</v>
      </c>
      <c r="K58" s="96">
        <f t="shared" ref="K58:N58" si="70">J58+K59</f>
        <v>6</v>
      </c>
      <c r="L58" s="96">
        <f t="shared" si="70"/>
        <v>6</v>
      </c>
      <c r="M58" s="96">
        <f t="shared" si="70"/>
        <v>6</v>
      </c>
      <c r="N58" s="97">
        <f t="shared" si="70"/>
        <v>6</v>
      </c>
      <c r="O58" s="73"/>
      <c r="P58" s="110"/>
      <c r="Q58" s="99">
        <f>G58+Q59</f>
        <v>0.75</v>
      </c>
      <c r="R58" s="100">
        <f t="shared" ref="R58:U58" si="71">Q58+R59</f>
        <v>0.75</v>
      </c>
      <c r="S58" s="100">
        <f t="shared" si="71"/>
        <v>0.75</v>
      </c>
      <c r="T58" s="100">
        <f t="shared" si="71"/>
        <v>0.75</v>
      </c>
      <c r="U58" s="100">
        <f t="shared" si="71"/>
        <v>0.75</v>
      </c>
      <c r="V58" s="58" t="s">
        <v>84</v>
      </c>
      <c r="W58" s="119"/>
    </row>
    <row r="59">
      <c r="A59" s="14"/>
      <c r="B59" s="101" t="s">
        <v>50</v>
      </c>
      <c r="C59" s="102"/>
      <c r="D59" s="103">
        <v>0.0</v>
      </c>
      <c r="E59" s="103">
        <v>0.0</v>
      </c>
      <c r="F59" s="103">
        <v>0.0</v>
      </c>
      <c r="G59" s="117">
        <v>0.0</v>
      </c>
      <c r="H59" s="76"/>
      <c r="I59" s="120"/>
      <c r="J59" s="105">
        <v>4.5</v>
      </c>
      <c r="K59" s="111">
        <v>0.0</v>
      </c>
      <c r="L59" s="111">
        <v>0.0</v>
      </c>
      <c r="M59" s="111">
        <v>0.0</v>
      </c>
      <c r="N59" s="112">
        <v>0.0</v>
      </c>
      <c r="O59" s="67"/>
      <c r="P59" s="106"/>
      <c r="Q59" s="107">
        <v>-0.75</v>
      </c>
      <c r="R59" s="108">
        <v>0.0</v>
      </c>
      <c r="S59" s="108">
        <v>0.0</v>
      </c>
      <c r="T59" s="108">
        <v>0.0</v>
      </c>
      <c r="U59" s="108">
        <v>0.0</v>
      </c>
      <c r="V59" s="14"/>
      <c r="W59" s="14"/>
    </row>
    <row r="60">
      <c r="B60" s="121"/>
      <c r="C60" s="121"/>
      <c r="D60" s="121"/>
      <c r="E60" s="121"/>
      <c r="F60" s="121"/>
      <c r="G60" s="121"/>
      <c r="H60" s="122" t="s">
        <v>69</v>
      </c>
      <c r="I60" s="13"/>
      <c r="J60" s="123" t="s">
        <v>30</v>
      </c>
      <c r="K60" s="123">
        <v>7.0</v>
      </c>
      <c r="L60" s="123">
        <v>8.0</v>
      </c>
      <c r="M60" s="123">
        <v>9.0</v>
      </c>
      <c r="N60" s="123">
        <v>10.0</v>
      </c>
      <c r="O60" s="124" t="s">
        <v>69</v>
      </c>
      <c r="P60" s="79"/>
      <c r="Q60" s="125" t="s">
        <v>30</v>
      </c>
      <c r="R60" s="125">
        <v>7.0</v>
      </c>
      <c r="S60" s="125">
        <v>8.0</v>
      </c>
      <c r="T60" s="125">
        <v>9.0</v>
      </c>
      <c r="U60" s="125">
        <v>10.0</v>
      </c>
      <c r="V60" s="80"/>
      <c r="W60" s="80"/>
    </row>
    <row r="61">
      <c r="B61" s="121"/>
      <c r="C61" s="121"/>
      <c r="D61" s="121"/>
      <c r="E61" s="121"/>
      <c r="F61" s="121"/>
      <c r="G61" s="121"/>
      <c r="H61" s="126" t="s">
        <v>85</v>
      </c>
      <c r="I61" s="127" t="s">
        <v>47</v>
      </c>
      <c r="J61" s="128">
        <v>5.0</v>
      </c>
      <c r="K61" s="96">
        <f t="shared" ref="K61:N61" si="72">J61+K62</f>
        <v>6</v>
      </c>
      <c r="L61" s="96">
        <f t="shared" si="72"/>
        <v>7</v>
      </c>
      <c r="M61" s="96">
        <f t="shared" si="72"/>
        <v>8</v>
      </c>
      <c r="N61" s="96">
        <f t="shared" si="72"/>
        <v>10</v>
      </c>
      <c r="O61" s="129" t="s">
        <v>86</v>
      </c>
      <c r="P61" s="130" t="s">
        <v>47</v>
      </c>
      <c r="Q61" s="131">
        <v>2.0</v>
      </c>
      <c r="R61" s="100">
        <f t="shared" ref="R61:U61" si="73">Q61+R62</f>
        <v>2</v>
      </c>
      <c r="S61" s="100">
        <f t="shared" si="73"/>
        <v>2</v>
      </c>
      <c r="T61" s="100">
        <f t="shared" si="73"/>
        <v>2</v>
      </c>
      <c r="U61" s="100">
        <f t="shared" si="73"/>
        <v>5</v>
      </c>
      <c r="V61" s="58" t="s">
        <v>64</v>
      </c>
      <c r="W61" s="58"/>
    </row>
    <row r="62">
      <c r="B62" s="121"/>
      <c r="C62" s="121"/>
      <c r="D62" s="121"/>
      <c r="E62" s="121"/>
      <c r="F62" s="121"/>
      <c r="G62" s="121"/>
      <c r="H62" s="14"/>
      <c r="I62" s="132" t="s">
        <v>50</v>
      </c>
      <c r="J62" s="133"/>
      <c r="K62" s="111">
        <v>1.0</v>
      </c>
      <c r="L62" s="111">
        <v>1.0</v>
      </c>
      <c r="M62" s="111">
        <v>1.0</v>
      </c>
      <c r="N62" s="111">
        <v>2.0</v>
      </c>
      <c r="O62" s="14"/>
      <c r="P62" s="134" t="s">
        <v>50</v>
      </c>
      <c r="Q62" s="135"/>
      <c r="R62" s="108">
        <v>0.0</v>
      </c>
      <c r="S62" s="108">
        <v>0.0</v>
      </c>
      <c r="T62" s="108">
        <v>0.0</v>
      </c>
      <c r="U62" s="108">
        <v>3.0</v>
      </c>
      <c r="V62" s="14"/>
      <c r="W62" s="14"/>
    </row>
    <row r="63">
      <c r="B63" s="121"/>
      <c r="C63" s="121"/>
      <c r="D63" s="121"/>
      <c r="E63" s="121"/>
      <c r="F63" s="121"/>
      <c r="G63" s="121"/>
      <c r="H63" s="136" t="s">
        <v>87</v>
      </c>
      <c r="I63" s="127" t="s">
        <v>47</v>
      </c>
      <c r="J63" s="128">
        <v>1.25</v>
      </c>
      <c r="K63" s="96">
        <f t="shared" ref="K63:N63" si="74">J63+K64</f>
        <v>1.35</v>
      </c>
      <c r="L63" s="96">
        <f t="shared" si="74"/>
        <v>1.45</v>
      </c>
      <c r="M63" s="96">
        <f t="shared" si="74"/>
        <v>1.55</v>
      </c>
      <c r="N63" s="96">
        <f t="shared" si="74"/>
        <v>3</v>
      </c>
      <c r="O63" s="137"/>
      <c r="P63" s="138"/>
      <c r="Q63" s="139"/>
      <c r="R63" s="100">
        <f t="shared" ref="R63:U63" si="75">Q63+R64</f>
        <v>0</v>
      </c>
      <c r="S63" s="100">
        <f t="shared" si="75"/>
        <v>0</v>
      </c>
      <c r="T63" s="100">
        <f t="shared" si="75"/>
        <v>0</v>
      </c>
      <c r="U63" s="100">
        <f t="shared" si="75"/>
        <v>0</v>
      </c>
      <c r="V63" s="74" t="s">
        <v>64</v>
      </c>
      <c r="W63" s="75"/>
    </row>
    <row r="64">
      <c r="B64" s="121"/>
      <c r="C64" s="121"/>
      <c r="D64" s="121"/>
      <c r="E64" s="121"/>
      <c r="F64" s="121"/>
      <c r="G64" s="121"/>
      <c r="H64" s="14"/>
      <c r="I64" s="132" t="s">
        <v>50</v>
      </c>
      <c r="J64" s="133"/>
      <c r="K64" s="111">
        <v>0.1</v>
      </c>
      <c r="L64" s="111">
        <v>0.1</v>
      </c>
      <c r="M64" s="111">
        <v>0.1</v>
      </c>
      <c r="N64" s="111">
        <v>1.45</v>
      </c>
      <c r="O64" s="14"/>
      <c r="P64" s="133"/>
      <c r="Q64" s="135"/>
      <c r="R64" s="135"/>
      <c r="S64" s="135"/>
      <c r="T64" s="135"/>
      <c r="U64" s="135"/>
      <c r="V64" s="14"/>
      <c r="W64" s="14"/>
    </row>
    <row r="65">
      <c r="H65" s="121"/>
      <c r="O65" s="121"/>
    </row>
    <row r="66">
      <c r="H66" s="121"/>
      <c r="O66" s="121"/>
    </row>
    <row r="67">
      <c r="A67" s="140" t="s">
        <v>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</row>
    <row r="68">
      <c r="A68" s="141" t="s">
        <v>41</v>
      </c>
      <c r="B68" s="12"/>
      <c r="C68" s="12"/>
      <c r="D68" s="12"/>
      <c r="E68" s="12"/>
      <c r="F68" s="12"/>
      <c r="G68" s="13"/>
      <c r="H68" s="142" t="s">
        <v>88</v>
      </c>
      <c r="I68" s="30"/>
      <c r="J68" s="30"/>
      <c r="K68" s="30"/>
      <c r="L68" s="30"/>
      <c r="M68" s="30"/>
      <c r="N68" s="31"/>
      <c r="O68" s="143" t="s">
        <v>89</v>
      </c>
      <c r="P68" s="30"/>
      <c r="Q68" s="30"/>
      <c r="R68" s="30"/>
      <c r="S68" s="30"/>
      <c r="T68" s="30"/>
      <c r="U68" s="31"/>
      <c r="V68" s="33" t="s">
        <v>77</v>
      </c>
      <c r="W68" s="33" t="s">
        <v>44</v>
      </c>
    </row>
    <row r="69">
      <c r="A69" s="144"/>
      <c r="B69" s="144"/>
      <c r="C69" s="145" t="s">
        <v>30</v>
      </c>
      <c r="D69" s="145">
        <v>2.0</v>
      </c>
      <c r="E69" s="145">
        <v>3.0</v>
      </c>
      <c r="F69" s="145">
        <v>4.0</v>
      </c>
      <c r="G69" s="141">
        <v>5.0</v>
      </c>
      <c r="H69" s="37"/>
      <c r="I69" s="146"/>
      <c r="J69" s="147">
        <v>6.0</v>
      </c>
      <c r="K69" s="123">
        <v>7.0</v>
      </c>
      <c r="L69" s="123">
        <v>8.0</v>
      </c>
      <c r="M69" s="123">
        <v>9.0</v>
      </c>
      <c r="N69" s="122">
        <v>10.0</v>
      </c>
      <c r="O69" s="41"/>
      <c r="P69" s="148"/>
      <c r="Q69" s="149">
        <v>6.0</v>
      </c>
      <c r="R69" s="125">
        <v>7.0</v>
      </c>
      <c r="S69" s="125">
        <v>8.0</v>
      </c>
      <c r="T69" s="125">
        <v>9.0</v>
      </c>
      <c r="U69" s="125">
        <v>10.0</v>
      </c>
      <c r="V69" s="14"/>
      <c r="W69" s="14"/>
    </row>
    <row r="70">
      <c r="A70" s="150" t="s">
        <v>46</v>
      </c>
      <c r="B70" s="90" t="s">
        <v>47</v>
      </c>
      <c r="C70" s="91">
        <v>100.0</v>
      </c>
      <c r="D70" s="92">
        <f t="shared" ref="D70:G70" si="76">C70+D71</f>
        <v>125</v>
      </c>
      <c r="E70" s="92">
        <f t="shared" si="76"/>
        <v>150</v>
      </c>
      <c r="F70" s="92">
        <f t="shared" si="76"/>
        <v>175</v>
      </c>
      <c r="G70" s="93">
        <f t="shared" si="76"/>
        <v>200</v>
      </c>
      <c r="H70" s="50"/>
      <c r="I70" s="94"/>
      <c r="J70" s="95">
        <f>G70+J71</f>
        <v>100</v>
      </c>
      <c r="K70" s="96">
        <f t="shared" ref="K70:N70" si="77">J70+K71</f>
        <v>112.5</v>
      </c>
      <c r="L70" s="96">
        <f t="shared" si="77"/>
        <v>125</v>
      </c>
      <c r="M70" s="96">
        <f t="shared" si="77"/>
        <v>137.5</v>
      </c>
      <c r="N70" s="97">
        <f t="shared" si="77"/>
        <v>200</v>
      </c>
      <c r="O70" s="54"/>
      <c r="P70" s="98"/>
      <c r="Q70" s="99">
        <f>G70+Q71</f>
        <v>225</v>
      </c>
      <c r="R70" s="100">
        <f t="shared" ref="R70:U70" si="78">Q70+R71</f>
        <v>250</v>
      </c>
      <c r="S70" s="100">
        <f t="shared" si="78"/>
        <v>275</v>
      </c>
      <c r="T70" s="100">
        <f t="shared" si="78"/>
        <v>300</v>
      </c>
      <c r="U70" s="100">
        <f t="shared" si="78"/>
        <v>400</v>
      </c>
      <c r="V70" s="58" t="s">
        <v>48</v>
      </c>
      <c r="W70" s="58" t="s">
        <v>60</v>
      </c>
    </row>
    <row r="71">
      <c r="A71" s="14"/>
      <c r="B71" s="101" t="s">
        <v>50</v>
      </c>
      <c r="C71" s="102"/>
      <c r="D71" s="103">
        <v>25.0</v>
      </c>
      <c r="E71" s="103">
        <v>25.0</v>
      </c>
      <c r="F71" s="103">
        <v>25.0</v>
      </c>
      <c r="G71" s="103">
        <v>25.0</v>
      </c>
      <c r="H71" s="63"/>
      <c r="I71" s="104"/>
      <c r="J71" s="105">
        <v>-100.0</v>
      </c>
      <c r="K71" s="111">
        <v>12.5</v>
      </c>
      <c r="L71" s="111">
        <v>12.5</v>
      </c>
      <c r="M71" s="111">
        <v>12.5</v>
      </c>
      <c r="N71" s="112">
        <v>62.5</v>
      </c>
      <c r="O71" s="67"/>
      <c r="P71" s="106"/>
      <c r="Q71" s="107">
        <v>25.0</v>
      </c>
      <c r="R71" s="108">
        <v>25.0</v>
      </c>
      <c r="S71" s="108">
        <v>25.0</v>
      </c>
      <c r="T71" s="108">
        <v>25.0</v>
      </c>
      <c r="U71" s="108">
        <v>100.0</v>
      </c>
      <c r="V71" s="14"/>
      <c r="W71" s="14"/>
    </row>
    <row r="72">
      <c r="A72" s="151" t="s">
        <v>51</v>
      </c>
      <c r="B72" s="90" t="s">
        <v>47</v>
      </c>
      <c r="C72" s="91">
        <v>30.0</v>
      </c>
      <c r="D72" s="92">
        <f t="shared" ref="D72:G72" si="79">C72+D73</f>
        <v>30</v>
      </c>
      <c r="E72" s="92">
        <f t="shared" si="79"/>
        <v>30</v>
      </c>
      <c r="F72" s="92">
        <f t="shared" si="79"/>
        <v>30</v>
      </c>
      <c r="G72" s="93">
        <f t="shared" si="79"/>
        <v>30</v>
      </c>
      <c r="H72" s="72"/>
      <c r="I72" s="109"/>
      <c r="J72" s="95">
        <f>G72+J73</f>
        <v>30</v>
      </c>
      <c r="K72" s="96">
        <f t="shared" ref="K72:N72" si="80">J72+K73</f>
        <v>30</v>
      </c>
      <c r="L72" s="96">
        <f t="shared" si="80"/>
        <v>30</v>
      </c>
      <c r="M72" s="96">
        <f t="shared" si="80"/>
        <v>30</v>
      </c>
      <c r="N72" s="97">
        <f t="shared" si="80"/>
        <v>30</v>
      </c>
      <c r="O72" s="73"/>
      <c r="P72" s="110"/>
      <c r="Q72" s="99">
        <f>G72+Q73</f>
        <v>25</v>
      </c>
      <c r="R72" s="100">
        <f t="shared" ref="R72:U72" si="81">Q72+R73</f>
        <v>25</v>
      </c>
      <c r="S72" s="100">
        <f t="shared" si="81"/>
        <v>25</v>
      </c>
      <c r="T72" s="100">
        <f t="shared" si="81"/>
        <v>25</v>
      </c>
      <c r="U72" s="100">
        <f t="shared" si="81"/>
        <v>25</v>
      </c>
      <c r="V72" s="74" t="s">
        <v>64</v>
      </c>
      <c r="W72" s="75"/>
    </row>
    <row r="73">
      <c r="A73" s="14"/>
      <c r="B73" s="101" t="s">
        <v>50</v>
      </c>
      <c r="C73" s="102"/>
      <c r="D73" s="103">
        <v>0.0</v>
      </c>
      <c r="E73" s="103">
        <v>0.0</v>
      </c>
      <c r="F73" s="103">
        <v>0.0</v>
      </c>
      <c r="G73" s="117">
        <v>0.0</v>
      </c>
      <c r="H73" s="63"/>
      <c r="I73" s="104"/>
      <c r="J73" s="105">
        <v>0.0</v>
      </c>
      <c r="K73" s="111">
        <v>0.0</v>
      </c>
      <c r="L73" s="111">
        <v>0.0</v>
      </c>
      <c r="M73" s="111">
        <v>0.0</v>
      </c>
      <c r="N73" s="112">
        <v>0.0</v>
      </c>
      <c r="O73" s="67"/>
      <c r="P73" s="106"/>
      <c r="Q73" s="107">
        <v>-5.0</v>
      </c>
      <c r="R73" s="108">
        <v>0.0</v>
      </c>
      <c r="S73" s="108">
        <v>0.0</v>
      </c>
      <c r="T73" s="108">
        <v>0.0</v>
      </c>
      <c r="U73" s="108">
        <v>0.0</v>
      </c>
      <c r="V73" s="14"/>
      <c r="W73" s="14"/>
    </row>
    <row r="74">
      <c r="A74" s="152" t="s">
        <v>78</v>
      </c>
      <c r="B74" s="90" t="s">
        <v>47</v>
      </c>
      <c r="C74" s="91">
        <v>0.5</v>
      </c>
      <c r="D74" s="92">
        <f t="shared" ref="D74:G74" si="82">C74+D75</f>
        <v>0.5</v>
      </c>
      <c r="E74" s="92">
        <f t="shared" si="82"/>
        <v>0.5</v>
      </c>
      <c r="F74" s="92">
        <f t="shared" si="82"/>
        <v>0.5625</v>
      </c>
      <c r="G74" s="93">
        <f t="shared" si="82"/>
        <v>0.625</v>
      </c>
      <c r="H74" s="72"/>
      <c r="I74" s="109"/>
      <c r="J74" s="95">
        <f>G74+J75</f>
        <v>0</v>
      </c>
      <c r="K74" s="96">
        <f t="shared" ref="K74:N74" si="83">J74+K75</f>
        <v>0</v>
      </c>
      <c r="L74" s="96">
        <f t="shared" si="83"/>
        <v>0</v>
      </c>
      <c r="M74" s="96">
        <f t="shared" si="83"/>
        <v>0</v>
      </c>
      <c r="N74" s="97">
        <f t="shared" si="83"/>
        <v>0</v>
      </c>
      <c r="O74" s="73"/>
      <c r="P74" s="110"/>
      <c r="Q74" s="99">
        <f>G74+Q75</f>
        <v>0.6875</v>
      </c>
      <c r="R74" s="100">
        <f t="shared" ref="R74:U74" si="84">Q74+R75</f>
        <v>0.75</v>
      </c>
      <c r="S74" s="100">
        <f t="shared" si="84"/>
        <v>0.8125</v>
      </c>
      <c r="T74" s="100">
        <f t="shared" si="84"/>
        <v>0.875</v>
      </c>
      <c r="U74" s="100">
        <f t="shared" si="84"/>
        <v>1.5</v>
      </c>
      <c r="V74" s="58" t="s">
        <v>54</v>
      </c>
      <c r="W74" s="58"/>
    </row>
    <row r="75">
      <c r="A75" s="14"/>
      <c r="B75" s="101" t="s">
        <v>50</v>
      </c>
      <c r="C75" s="102"/>
      <c r="D75" s="103">
        <v>0.0</v>
      </c>
      <c r="E75" s="103">
        <v>0.0</v>
      </c>
      <c r="F75" s="117">
        <v>0.0625</v>
      </c>
      <c r="G75" s="117">
        <v>0.0625</v>
      </c>
      <c r="H75" s="63"/>
      <c r="I75" s="104"/>
      <c r="J75" s="105">
        <v>-0.625</v>
      </c>
      <c r="K75" s="111">
        <v>0.0</v>
      </c>
      <c r="L75" s="111">
        <v>0.0</v>
      </c>
      <c r="M75" s="111">
        <v>0.0</v>
      </c>
      <c r="N75" s="112">
        <v>0.0</v>
      </c>
      <c r="O75" s="67"/>
      <c r="P75" s="106"/>
      <c r="Q75" s="107">
        <v>0.0625</v>
      </c>
      <c r="R75" s="107">
        <v>0.0625</v>
      </c>
      <c r="S75" s="107">
        <v>0.0625</v>
      </c>
      <c r="T75" s="107">
        <v>0.0625</v>
      </c>
      <c r="U75" s="107">
        <v>0.625</v>
      </c>
      <c r="V75" s="14"/>
      <c r="W75" s="14"/>
    </row>
    <row r="76">
      <c r="A76" s="153" t="s">
        <v>90</v>
      </c>
      <c r="B76" s="90" t="s">
        <v>47</v>
      </c>
      <c r="C76" s="91">
        <v>0.25</v>
      </c>
      <c r="D76" s="92">
        <f t="shared" ref="D76:G76" si="85">C76+D77</f>
        <v>0.25</v>
      </c>
      <c r="E76" s="92">
        <f t="shared" si="85"/>
        <v>0.25</v>
      </c>
      <c r="F76" s="92">
        <f t="shared" si="85"/>
        <v>0.25</v>
      </c>
      <c r="G76" s="93">
        <f t="shared" si="85"/>
        <v>0.25</v>
      </c>
      <c r="H76" s="72"/>
      <c r="I76" s="109"/>
      <c r="J76" s="95">
        <f>G76+J77</f>
        <v>0.33</v>
      </c>
      <c r="K76" s="96">
        <f t="shared" ref="K76:N76" si="86">J76+K77</f>
        <v>0.33</v>
      </c>
      <c r="L76" s="96">
        <f t="shared" si="86"/>
        <v>0.33</v>
      </c>
      <c r="M76" s="96">
        <f t="shared" si="86"/>
        <v>0.33</v>
      </c>
      <c r="N76" s="97">
        <f t="shared" si="86"/>
        <v>0.33</v>
      </c>
      <c r="O76" s="73"/>
      <c r="P76" s="110"/>
      <c r="Q76" s="99">
        <f>G76+Q77</f>
        <v>0.33</v>
      </c>
      <c r="R76" s="100">
        <f t="shared" ref="R76:U76" si="87">Q76+R77</f>
        <v>0.33</v>
      </c>
      <c r="S76" s="100">
        <f t="shared" si="87"/>
        <v>0.33</v>
      </c>
      <c r="T76" s="100">
        <f t="shared" si="87"/>
        <v>0.33</v>
      </c>
      <c r="U76" s="100">
        <f t="shared" si="87"/>
        <v>0.33</v>
      </c>
      <c r="V76" s="74" t="s">
        <v>81</v>
      </c>
      <c r="W76" s="75"/>
    </row>
    <row r="77">
      <c r="A77" s="14"/>
      <c r="B77" s="101" t="s">
        <v>50</v>
      </c>
      <c r="C77" s="102"/>
      <c r="D77" s="103">
        <v>0.0</v>
      </c>
      <c r="E77" s="103">
        <v>0.0</v>
      </c>
      <c r="F77" s="103">
        <v>0.0</v>
      </c>
      <c r="G77" s="117">
        <v>0.0</v>
      </c>
      <c r="H77" s="63"/>
      <c r="I77" s="104"/>
      <c r="J77" s="105">
        <v>0.08</v>
      </c>
      <c r="K77" s="111">
        <v>0.0</v>
      </c>
      <c r="L77" s="111">
        <v>0.0</v>
      </c>
      <c r="M77" s="111">
        <v>0.0</v>
      </c>
      <c r="N77" s="112">
        <v>0.0</v>
      </c>
      <c r="O77" s="67"/>
      <c r="P77" s="106"/>
      <c r="Q77" s="107">
        <v>0.08</v>
      </c>
      <c r="R77" s="108">
        <v>0.0</v>
      </c>
      <c r="S77" s="108">
        <v>0.0</v>
      </c>
      <c r="T77" s="108">
        <v>0.0</v>
      </c>
      <c r="U77" s="108">
        <v>0.0</v>
      </c>
      <c r="V77" s="14"/>
      <c r="W77" s="14"/>
    </row>
    <row r="78">
      <c r="A78" s="150" t="s">
        <v>53</v>
      </c>
      <c r="B78" s="90" t="s">
        <v>47</v>
      </c>
      <c r="C78" s="91">
        <v>40.0</v>
      </c>
      <c r="D78" s="92">
        <f t="shared" ref="D78:G78" si="88">C78+D79</f>
        <v>40</v>
      </c>
      <c r="E78" s="92">
        <f t="shared" si="88"/>
        <v>40</v>
      </c>
      <c r="F78" s="92">
        <f t="shared" si="88"/>
        <v>40</v>
      </c>
      <c r="G78" s="93">
        <f t="shared" si="88"/>
        <v>40</v>
      </c>
      <c r="H78" s="72"/>
      <c r="I78" s="109"/>
      <c r="J78" s="95">
        <f>G78+J79</f>
        <v>40</v>
      </c>
      <c r="K78" s="96">
        <f t="shared" ref="K78:N78" si="89">J78+K79</f>
        <v>40</v>
      </c>
      <c r="L78" s="96">
        <f t="shared" si="89"/>
        <v>40</v>
      </c>
      <c r="M78" s="96">
        <f t="shared" si="89"/>
        <v>40</v>
      </c>
      <c r="N78" s="97">
        <f t="shared" si="89"/>
        <v>40</v>
      </c>
      <c r="O78" s="73"/>
      <c r="P78" s="110"/>
      <c r="Q78" s="99">
        <f>G78+Q79</f>
        <v>35</v>
      </c>
      <c r="R78" s="100">
        <f t="shared" ref="R78:U78" si="90">Q78+R79</f>
        <v>35</v>
      </c>
      <c r="S78" s="100">
        <f t="shared" si="90"/>
        <v>35</v>
      </c>
      <c r="T78" s="100">
        <f t="shared" si="90"/>
        <v>35</v>
      </c>
      <c r="U78" s="100">
        <f t="shared" si="90"/>
        <v>35</v>
      </c>
      <c r="V78" s="58" t="s">
        <v>64</v>
      </c>
      <c r="W78" s="58"/>
    </row>
    <row r="79">
      <c r="A79" s="14"/>
      <c r="B79" s="101" t="s">
        <v>50</v>
      </c>
      <c r="C79" s="102"/>
      <c r="D79" s="103">
        <v>0.0</v>
      </c>
      <c r="E79" s="103">
        <v>0.0</v>
      </c>
      <c r="F79" s="103">
        <v>0.0</v>
      </c>
      <c r="G79" s="117">
        <v>0.0</v>
      </c>
      <c r="H79" s="63"/>
      <c r="I79" s="104"/>
      <c r="J79" s="105">
        <v>0.0</v>
      </c>
      <c r="K79" s="111">
        <v>0.0</v>
      </c>
      <c r="L79" s="111">
        <v>0.0</v>
      </c>
      <c r="M79" s="111">
        <v>0.0</v>
      </c>
      <c r="N79" s="112">
        <v>0.0</v>
      </c>
      <c r="O79" s="67"/>
      <c r="P79" s="106"/>
      <c r="Q79" s="107">
        <v>-5.0</v>
      </c>
      <c r="R79" s="108">
        <v>0.0</v>
      </c>
      <c r="S79" s="108">
        <v>0.0</v>
      </c>
      <c r="T79" s="108">
        <v>0.0</v>
      </c>
      <c r="U79" s="108">
        <v>0.0</v>
      </c>
      <c r="V79" s="14"/>
      <c r="W79" s="14"/>
    </row>
    <row r="80">
      <c r="A80" s="153" t="s">
        <v>79</v>
      </c>
      <c r="B80" s="90" t="s">
        <v>47</v>
      </c>
      <c r="C80" s="91">
        <v>0.75</v>
      </c>
      <c r="D80" s="92">
        <f t="shared" ref="D80:G80" si="91">C80+D81</f>
        <v>0.75</v>
      </c>
      <c r="E80" s="92">
        <f t="shared" si="91"/>
        <v>0.75</v>
      </c>
      <c r="F80" s="92">
        <f t="shared" si="91"/>
        <v>0.875</v>
      </c>
      <c r="G80" s="93">
        <f t="shared" si="91"/>
        <v>1</v>
      </c>
      <c r="H80" s="72"/>
      <c r="I80" s="109"/>
      <c r="J80" s="95">
        <f>G80+J81</f>
        <v>0</v>
      </c>
      <c r="K80" s="96">
        <f t="shared" ref="K80:N80" si="92">J80+K81</f>
        <v>0</v>
      </c>
      <c r="L80" s="96">
        <f t="shared" si="92"/>
        <v>0</v>
      </c>
      <c r="M80" s="96">
        <f t="shared" si="92"/>
        <v>0</v>
      </c>
      <c r="N80" s="97">
        <f t="shared" si="92"/>
        <v>0</v>
      </c>
      <c r="O80" s="73"/>
      <c r="P80" s="110"/>
      <c r="Q80" s="99">
        <f>G80+Q81</f>
        <v>1.125</v>
      </c>
      <c r="R80" s="100">
        <f t="shared" ref="R80:U80" si="93">Q80+R81</f>
        <v>1.25</v>
      </c>
      <c r="S80" s="100">
        <f t="shared" si="93"/>
        <v>1.375</v>
      </c>
      <c r="T80" s="100">
        <f t="shared" si="93"/>
        <v>1.5</v>
      </c>
      <c r="U80" s="100">
        <f t="shared" si="93"/>
        <v>2</v>
      </c>
      <c r="V80" s="74" t="s">
        <v>54</v>
      </c>
      <c r="W80" s="75"/>
    </row>
    <row r="81">
      <c r="A81" s="14"/>
      <c r="B81" s="101" t="s">
        <v>50</v>
      </c>
      <c r="C81" s="102"/>
      <c r="D81" s="103">
        <v>0.0</v>
      </c>
      <c r="E81" s="103">
        <v>0.0</v>
      </c>
      <c r="F81" s="117">
        <v>0.125</v>
      </c>
      <c r="G81" s="117">
        <v>0.125</v>
      </c>
      <c r="H81" s="63"/>
      <c r="I81" s="104"/>
      <c r="J81" s="105">
        <v>-1.0</v>
      </c>
      <c r="K81" s="111">
        <v>0.0</v>
      </c>
      <c r="L81" s="111">
        <v>0.0</v>
      </c>
      <c r="M81" s="111">
        <v>0.0</v>
      </c>
      <c r="N81" s="112">
        <v>0.0</v>
      </c>
      <c r="O81" s="67"/>
      <c r="P81" s="106"/>
      <c r="Q81" s="107">
        <v>0.125</v>
      </c>
      <c r="R81" s="107">
        <v>0.125</v>
      </c>
      <c r="S81" s="107">
        <v>0.125</v>
      </c>
      <c r="T81" s="107">
        <v>0.125</v>
      </c>
      <c r="U81" s="107">
        <v>0.5</v>
      </c>
      <c r="V81" s="14"/>
      <c r="W81" s="14"/>
    </row>
    <row r="82">
      <c r="A82" s="152" t="s">
        <v>91</v>
      </c>
      <c r="B82" s="90" t="s">
        <v>47</v>
      </c>
      <c r="C82" s="91">
        <v>0.5</v>
      </c>
      <c r="D82" s="92">
        <f t="shared" ref="D82:G82" si="94">C82+D83</f>
        <v>0.5</v>
      </c>
      <c r="E82" s="92">
        <f t="shared" si="94"/>
        <v>0.5</v>
      </c>
      <c r="F82" s="92">
        <f t="shared" si="94"/>
        <v>0.5</v>
      </c>
      <c r="G82" s="93">
        <f t="shared" si="94"/>
        <v>0.5</v>
      </c>
      <c r="H82" s="72"/>
      <c r="I82" s="109"/>
      <c r="J82" s="95">
        <f>G82+J83</f>
        <v>0.5</v>
      </c>
      <c r="K82" s="96">
        <f t="shared" ref="K82:N82" si="95">J82+K83</f>
        <v>0.5</v>
      </c>
      <c r="L82" s="96">
        <f t="shared" si="95"/>
        <v>0.5</v>
      </c>
      <c r="M82" s="96">
        <f t="shared" si="95"/>
        <v>0.5</v>
      </c>
      <c r="N82" s="97">
        <f t="shared" si="95"/>
        <v>0.5</v>
      </c>
      <c r="O82" s="73"/>
      <c r="P82" s="110"/>
      <c r="Q82" s="99">
        <f>G82+Q83</f>
        <v>0.5</v>
      </c>
      <c r="R82" s="100">
        <f t="shared" ref="R82:U82" si="96">Q82+R83</f>
        <v>0.5</v>
      </c>
      <c r="S82" s="100">
        <f t="shared" si="96"/>
        <v>0.5</v>
      </c>
      <c r="T82" s="100">
        <f t="shared" si="96"/>
        <v>0.5</v>
      </c>
      <c r="U82" s="100">
        <f t="shared" si="96"/>
        <v>0.5</v>
      </c>
      <c r="V82" s="58" t="s">
        <v>81</v>
      </c>
      <c r="W82" s="58"/>
    </row>
    <row r="83">
      <c r="A83" s="14"/>
      <c r="B83" s="101" t="s">
        <v>50</v>
      </c>
      <c r="C83" s="102"/>
      <c r="D83" s="103">
        <v>0.0</v>
      </c>
      <c r="E83" s="103">
        <v>0.0</v>
      </c>
      <c r="F83" s="103">
        <v>0.0</v>
      </c>
      <c r="G83" s="117">
        <v>0.0</v>
      </c>
      <c r="H83" s="63"/>
      <c r="I83" s="104"/>
      <c r="J83" s="105">
        <v>0.0</v>
      </c>
      <c r="K83" s="111">
        <v>0.0</v>
      </c>
      <c r="L83" s="111">
        <v>0.0</v>
      </c>
      <c r="M83" s="111">
        <v>0.0</v>
      </c>
      <c r="N83" s="112">
        <v>0.0</v>
      </c>
      <c r="O83" s="67"/>
      <c r="P83" s="106"/>
      <c r="Q83" s="107">
        <v>0.0</v>
      </c>
      <c r="R83" s="108">
        <v>0.0</v>
      </c>
      <c r="S83" s="108">
        <v>0.0</v>
      </c>
      <c r="T83" s="108">
        <v>0.0</v>
      </c>
      <c r="U83" s="108">
        <v>0.0</v>
      </c>
      <c r="V83" s="14"/>
      <c r="W83" s="14"/>
    </row>
    <row r="84">
      <c r="A84" s="151" t="s">
        <v>55</v>
      </c>
      <c r="B84" s="90" t="s">
        <v>47</v>
      </c>
      <c r="C84" s="91">
        <v>15.0</v>
      </c>
      <c r="D84" s="92">
        <f t="shared" ref="D84:G84" si="97">C84+D85</f>
        <v>16</v>
      </c>
      <c r="E84" s="92">
        <f t="shared" si="97"/>
        <v>17</v>
      </c>
      <c r="F84" s="92">
        <f t="shared" si="97"/>
        <v>18</v>
      </c>
      <c r="G84" s="93">
        <f t="shared" si="97"/>
        <v>20</v>
      </c>
      <c r="H84" s="72"/>
      <c r="I84" s="109"/>
      <c r="J84" s="95">
        <f>G84+J85</f>
        <v>21</v>
      </c>
      <c r="K84" s="96">
        <f t="shared" ref="K84:N84" si="98">J84+K85</f>
        <v>22</v>
      </c>
      <c r="L84" s="96">
        <f t="shared" si="98"/>
        <v>23</v>
      </c>
      <c r="M84" s="96">
        <f t="shared" si="98"/>
        <v>24</v>
      </c>
      <c r="N84" s="97">
        <f t="shared" si="98"/>
        <v>30</v>
      </c>
      <c r="O84" s="73"/>
      <c r="P84" s="110"/>
      <c r="Q84" s="99">
        <f>G84+Q85</f>
        <v>21</v>
      </c>
      <c r="R84" s="100">
        <f t="shared" ref="R84:U84" si="99">Q84+R85</f>
        <v>22</v>
      </c>
      <c r="S84" s="100">
        <f t="shared" si="99"/>
        <v>23</v>
      </c>
      <c r="T84" s="100">
        <f t="shared" si="99"/>
        <v>24</v>
      </c>
      <c r="U84" s="100">
        <f t="shared" si="99"/>
        <v>30</v>
      </c>
      <c r="V84" s="74" t="s">
        <v>56</v>
      </c>
      <c r="W84" s="75"/>
    </row>
    <row r="85">
      <c r="A85" s="14"/>
      <c r="B85" s="101" t="s">
        <v>50</v>
      </c>
      <c r="C85" s="102"/>
      <c r="D85" s="103">
        <v>1.0</v>
      </c>
      <c r="E85" s="103">
        <v>1.0</v>
      </c>
      <c r="F85" s="103">
        <v>1.0</v>
      </c>
      <c r="G85" s="117">
        <v>2.0</v>
      </c>
      <c r="H85" s="63"/>
      <c r="I85" s="104"/>
      <c r="J85" s="105">
        <v>1.0</v>
      </c>
      <c r="K85" s="111">
        <v>1.0</v>
      </c>
      <c r="L85" s="111">
        <v>1.0</v>
      </c>
      <c r="M85" s="111">
        <v>1.0</v>
      </c>
      <c r="N85" s="112">
        <v>6.0</v>
      </c>
      <c r="O85" s="67"/>
      <c r="P85" s="106"/>
      <c r="Q85" s="107">
        <v>1.0</v>
      </c>
      <c r="R85" s="108">
        <v>1.0</v>
      </c>
      <c r="S85" s="108">
        <v>1.0</v>
      </c>
      <c r="T85" s="108">
        <v>1.0</v>
      </c>
      <c r="U85" s="108">
        <v>6.0</v>
      </c>
      <c r="V85" s="14"/>
      <c r="W85" s="14"/>
    </row>
    <row r="86">
      <c r="A86" s="150" t="s">
        <v>57</v>
      </c>
      <c r="B86" s="90" t="s">
        <v>47</v>
      </c>
      <c r="C86" s="91">
        <v>4.0</v>
      </c>
      <c r="D86" s="92">
        <f t="shared" ref="D86:G86" si="100">C86+D87</f>
        <v>4.25</v>
      </c>
      <c r="E86" s="92">
        <f t="shared" si="100"/>
        <v>4.5</v>
      </c>
      <c r="F86" s="92">
        <f t="shared" si="100"/>
        <v>4.75</v>
      </c>
      <c r="G86" s="93">
        <f t="shared" si="100"/>
        <v>5</v>
      </c>
      <c r="H86" s="72"/>
      <c r="I86" s="109"/>
      <c r="J86" s="95">
        <f>G86+J87</f>
        <v>7</v>
      </c>
      <c r="K86" s="96">
        <f t="shared" ref="K86:N86" si="101">J86+K87</f>
        <v>7.25</v>
      </c>
      <c r="L86" s="96">
        <f t="shared" si="101"/>
        <v>7.5</v>
      </c>
      <c r="M86" s="96">
        <f t="shared" si="101"/>
        <v>7.75</v>
      </c>
      <c r="N86" s="97">
        <f t="shared" si="101"/>
        <v>9</v>
      </c>
      <c r="O86" s="73"/>
      <c r="P86" s="110"/>
      <c r="Q86" s="99">
        <f>G86+Q87</f>
        <v>7</v>
      </c>
      <c r="R86" s="100">
        <f t="shared" ref="R86:U86" si="102">Q86+R87</f>
        <v>7.25</v>
      </c>
      <c r="S86" s="100">
        <f t="shared" si="102"/>
        <v>7.5</v>
      </c>
      <c r="T86" s="100">
        <f t="shared" si="102"/>
        <v>7.75</v>
      </c>
      <c r="U86" s="100">
        <f t="shared" si="102"/>
        <v>8</v>
      </c>
      <c r="V86" s="58" t="s">
        <v>52</v>
      </c>
      <c r="W86" s="58"/>
    </row>
    <row r="87">
      <c r="A87" s="14"/>
      <c r="B87" s="101" t="s">
        <v>50</v>
      </c>
      <c r="C87" s="102"/>
      <c r="D87" s="103">
        <v>0.25</v>
      </c>
      <c r="E87" s="103">
        <v>0.25</v>
      </c>
      <c r="F87" s="103">
        <v>0.25</v>
      </c>
      <c r="G87" s="103">
        <v>0.25</v>
      </c>
      <c r="H87" s="63"/>
      <c r="I87" s="104"/>
      <c r="J87" s="105">
        <v>2.0</v>
      </c>
      <c r="K87" s="111">
        <v>0.25</v>
      </c>
      <c r="L87" s="111">
        <v>0.25</v>
      </c>
      <c r="M87" s="111">
        <v>0.25</v>
      </c>
      <c r="N87" s="112">
        <v>1.25</v>
      </c>
      <c r="O87" s="67"/>
      <c r="P87" s="106"/>
      <c r="Q87" s="107">
        <v>2.0</v>
      </c>
      <c r="R87" s="108">
        <v>0.25</v>
      </c>
      <c r="S87" s="108">
        <v>0.25</v>
      </c>
      <c r="T87" s="108">
        <v>0.25</v>
      </c>
      <c r="U87" s="108">
        <v>0.25</v>
      </c>
      <c r="V87" s="14"/>
      <c r="W87" s="14"/>
    </row>
    <row r="88">
      <c r="A88" s="153" t="s">
        <v>58</v>
      </c>
      <c r="B88" s="90" t="s">
        <v>47</v>
      </c>
      <c r="C88" s="91">
        <v>100.0</v>
      </c>
      <c r="D88" s="92">
        <f t="shared" ref="D88:G88" si="103">C88+D89</f>
        <v>125</v>
      </c>
      <c r="E88" s="92">
        <f t="shared" si="103"/>
        <v>150</v>
      </c>
      <c r="F88" s="92">
        <f t="shared" si="103"/>
        <v>175</v>
      </c>
      <c r="G88" s="93">
        <f t="shared" si="103"/>
        <v>200</v>
      </c>
      <c r="H88" s="50"/>
      <c r="I88" s="94"/>
      <c r="J88" s="95">
        <f>G88+J89</f>
        <v>100</v>
      </c>
      <c r="K88" s="96">
        <f t="shared" ref="K88:N88" si="104">J88+K89</f>
        <v>112.5</v>
      </c>
      <c r="L88" s="96">
        <f t="shared" si="104"/>
        <v>125</v>
      </c>
      <c r="M88" s="96">
        <f t="shared" si="104"/>
        <v>137.5</v>
      </c>
      <c r="N88" s="97">
        <f t="shared" si="104"/>
        <v>200</v>
      </c>
      <c r="O88" s="54"/>
      <c r="P88" s="98"/>
      <c r="Q88" s="99">
        <f>G88+Q89</f>
        <v>225</v>
      </c>
      <c r="R88" s="100">
        <f t="shared" ref="R88:U88" si="105">Q88+R89</f>
        <v>250</v>
      </c>
      <c r="S88" s="100">
        <f t="shared" si="105"/>
        <v>275</v>
      </c>
      <c r="T88" s="100">
        <f t="shared" si="105"/>
        <v>300</v>
      </c>
      <c r="U88" s="100">
        <f t="shared" si="105"/>
        <v>400</v>
      </c>
      <c r="V88" s="74" t="s">
        <v>59</v>
      </c>
      <c r="W88" s="74" t="s">
        <v>92</v>
      </c>
    </row>
    <row r="89">
      <c r="A89" s="14"/>
      <c r="B89" s="101" t="s">
        <v>50</v>
      </c>
      <c r="C89" s="102"/>
      <c r="D89" s="103">
        <v>25.0</v>
      </c>
      <c r="E89" s="103">
        <v>25.0</v>
      </c>
      <c r="F89" s="103">
        <v>25.0</v>
      </c>
      <c r="G89" s="103">
        <v>25.0</v>
      </c>
      <c r="H89" s="63"/>
      <c r="I89" s="104"/>
      <c r="J89" s="105">
        <v>-100.0</v>
      </c>
      <c r="K89" s="111">
        <v>12.5</v>
      </c>
      <c r="L89" s="111">
        <v>12.5</v>
      </c>
      <c r="M89" s="111">
        <v>12.5</v>
      </c>
      <c r="N89" s="112">
        <v>62.5</v>
      </c>
      <c r="O89" s="67"/>
      <c r="P89" s="106"/>
      <c r="Q89" s="107">
        <v>25.0</v>
      </c>
      <c r="R89" s="108">
        <v>25.0</v>
      </c>
      <c r="S89" s="108">
        <v>25.0</v>
      </c>
      <c r="T89" s="108">
        <v>25.0</v>
      </c>
      <c r="U89" s="108">
        <v>100.0</v>
      </c>
      <c r="V89" s="14"/>
      <c r="W89" s="14"/>
    </row>
    <row r="90">
      <c r="A90" s="150" t="s">
        <v>61</v>
      </c>
      <c r="B90" s="90" t="s">
        <v>47</v>
      </c>
      <c r="C90" s="91">
        <v>10.0</v>
      </c>
      <c r="D90" s="92">
        <f t="shared" ref="D90:G90" si="106">C90+D91</f>
        <v>10</v>
      </c>
      <c r="E90" s="92">
        <f t="shared" si="106"/>
        <v>10</v>
      </c>
      <c r="F90" s="92">
        <f t="shared" si="106"/>
        <v>10</v>
      </c>
      <c r="G90" s="93">
        <f t="shared" si="106"/>
        <v>10</v>
      </c>
      <c r="H90" s="72"/>
      <c r="I90" s="109"/>
      <c r="J90" s="95">
        <f>G90+J91</f>
        <v>10</v>
      </c>
      <c r="K90" s="96">
        <f t="shared" ref="K90:N90" si="107">J90+K91</f>
        <v>9</v>
      </c>
      <c r="L90" s="96">
        <f t="shared" si="107"/>
        <v>9</v>
      </c>
      <c r="M90" s="96">
        <f t="shared" si="107"/>
        <v>8</v>
      </c>
      <c r="N90" s="97">
        <f t="shared" si="107"/>
        <v>6</v>
      </c>
      <c r="O90" s="73"/>
      <c r="P90" s="110"/>
      <c r="Q90" s="99">
        <f>G90+Q91</f>
        <v>10</v>
      </c>
      <c r="R90" s="100">
        <f t="shared" ref="R90:U90" si="108">Q90+R91</f>
        <v>9</v>
      </c>
      <c r="S90" s="100">
        <f t="shared" si="108"/>
        <v>9</v>
      </c>
      <c r="T90" s="100">
        <f t="shared" si="108"/>
        <v>8</v>
      </c>
      <c r="U90" s="100">
        <f t="shared" si="108"/>
        <v>6</v>
      </c>
      <c r="V90" s="58" t="s">
        <v>62</v>
      </c>
      <c r="W90" s="119"/>
    </row>
    <row r="91">
      <c r="A91" s="14"/>
      <c r="B91" s="101" t="s">
        <v>50</v>
      </c>
      <c r="C91" s="102"/>
      <c r="D91" s="103">
        <v>0.0</v>
      </c>
      <c r="E91" s="103">
        <v>0.0</v>
      </c>
      <c r="F91" s="103">
        <v>0.0</v>
      </c>
      <c r="G91" s="103">
        <v>0.0</v>
      </c>
      <c r="H91" s="63"/>
      <c r="I91" s="104"/>
      <c r="J91" s="105">
        <v>0.0</v>
      </c>
      <c r="K91" s="111">
        <v>-1.0</v>
      </c>
      <c r="L91" s="111">
        <v>0.0</v>
      </c>
      <c r="M91" s="111">
        <v>-1.0</v>
      </c>
      <c r="N91" s="112">
        <v>-2.0</v>
      </c>
      <c r="O91" s="67"/>
      <c r="P91" s="106"/>
      <c r="Q91" s="107">
        <v>0.0</v>
      </c>
      <c r="R91" s="108">
        <v>-1.0</v>
      </c>
      <c r="S91" s="108">
        <v>0.0</v>
      </c>
      <c r="T91" s="108">
        <v>-1.0</v>
      </c>
      <c r="U91" s="108">
        <v>-2.0</v>
      </c>
      <c r="V91" s="14"/>
      <c r="W91" s="14"/>
    </row>
    <row r="92">
      <c r="A92" s="151" t="s">
        <v>63</v>
      </c>
      <c r="B92" s="90" t="s">
        <v>47</v>
      </c>
      <c r="C92" s="92"/>
      <c r="D92" s="92">
        <f t="shared" ref="D92:G92" si="109">C92+D93</f>
        <v>0</v>
      </c>
      <c r="E92" s="92">
        <f t="shared" si="109"/>
        <v>0</v>
      </c>
      <c r="F92" s="92">
        <f t="shared" si="109"/>
        <v>0</v>
      </c>
      <c r="G92" s="93">
        <f t="shared" si="109"/>
        <v>0</v>
      </c>
      <c r="H92" s="72"/>
      <c r="I92" s="109"/>
      <c r="J92" s="95">
        <f>G92+J93</f>
        <v>0</v>
      </c>
      <c r="K92" s="96">
        <f t="shared" ref="K92:N92" si="110">J92+K93</f>
        <v>0</v>
      </c>
      <c r="L92" s="96">
        <f t="shared" si="110"/>
        <v>0</v>
      </c>
      <c r="M92" s="96">
        <f t="shared" si="110"/>
        <v>0</v>
      </c>
      <c r="N92" s="97">
        <f t="shared" si="110"/>
        <v>0</v>
      </c>
      <c r="O92" s="73"/>
      <c r="P92" s="110"/>
      <c r="Q92" s="99">
        <f>G92+Q93</f>
        <v>0</v>
      </c>
      <c r="R92" s="100">
        <f t="shared" ref="R92:U92" si="111">Q92+R93</f>
        <v>0</v>
      </c>
      <c r="S92" s="100">
        <f t="shared" si="111"/>
        <v>0</v>
      </c>
      <c r="T92" s="100">
        <f t="shared" si="111"/>
        <v>0</v>
      </c>
      <c r="U92" s="100">
        <f t="shared" si="111"/>
        <v>0</v>
      </c>
      <c r="V92" s="74" t="s">
        <v>83</v>
      </c>
      <c r="W92" s="74"/>
    </row>
    <row r="93">
      <c r="A93" s="14"/>
      <c r="B93" s="101" t="s">
        <v>50</v>
      </c>
      <c r="C93" s="102"/>
      <c r="D93" s="154"/>
      <c r="E93" s="154"/>
      <c r="F93" s="154"/>
      <c r="G93" s="155"/>
      <c r="H93" s="63"/>
      <c r="I93" s="104"/>
      <c r="J93" s="156"/>
      <c r="K93" s="157"/>
      <c r="L93" s="157"/>
      <c r="M93" s="157"/>
      <c r="N93" s="158"/>
      <c r="O93" s="67"/>
      <c r="P93" s="106"/>
      <c r="Q93" s="113"/>
      <c r="R93" s="114"/>
      <c r="S93" s="114"/>
      <c r="T93" s="114"/>
      <c r="U93" s="114"/>
      <c r="V93" s="14"/>
      <c r="W93" s="14"/>
    </row>
    <row r="94">
      <c r="A94" s="150" t="s">
        <v>65</v>
      </c>
      <c r="B94" s="90" t="s">
        <v>47</v>
      </c>
      <c r="C94" s="91">
        <v>75.0</v>
      </c>
      <c r="D94" s="92">
        <f t="shared" ref="D94:G94" si="112">C94+D95</f>
        <v>75</v>
      </c>
      <c r="E94" s="92">
        <f t="shared" si="112"/>
        <v>75</v>
      </c>
      <c r="F94" s="92">
        <f t="shared" si="112"/>
        <v>75</v>
      </c>
      <c r="G94" s="93">
        <f t="shared" si="112"/>
        <v>75</v>
      </c>
      <c r="H94" s="72"/>
      <c r="I94" s="109"/>
      <c r="J94" s="95">
        <f>G94+J95</f>
        <v>75</v>
      </c>
      <c r="K94" s="96">
        <f t="shared" ref="K94:N94" si="113">J94+K95</f>
        <v>75</v>
      </c>
      <c r="L94" s="96">
        <f t="shared" si="113"/>
        <v>75</v>
      </c>
      <c r="M94" s="96">
        <f t="shared" si="113"/>
        <v>75</v>
      </c>
      <c r="N94" s="97">
        <f t="shared" si="113"/>
        <v>75</v>
      </c>
      <c r="O94" s="73"/>
      <c r="P94" s="110"/>
      <c r="Q94" s="99">
        <f>G94+Q95</f>
        <v>75</v>
      </c>
      <c r="R94" s="100">
        <f t="shared" ref="R94:U94" si="114">Q94+R95</f>
        <v>75</v>
      </c>
      <c r="S94" s="100">
        <f t="shared" si="114"/>
        <v>75</v>
      </c>
      <c r="T94" s="100">
        <f t="shared" si="114"/>
        <v>75</v>
      </c>
      <c r="U94" s="100">
        <f t="shared" si="114"/>
        <v>75</v>
      </c>
      <c r="V94" s="58" t="s">
        <v>66</v>
      </c>
      <c r="W94" s="119"/>
    </row>
    <row r="95">
      <c r="A95" s="14"/>
      <c r="B95" s="101" t="s">
        <v>50</v>
      </c>
      <c r="C95" s="102"/>
      <c r="D95" s="103">
        <v>0.0</v>
      </c>
      <c r="E95" s="103">
        <v>0.0</v>
      </c>
      <c r="F95" s="103">
        <v>0.0</v>
      </c>
      <c r="G95" s="117">
        <v>0.0</v>
      </c>
      <c r="H95" s="63"/>
      <c r="I95" s="104"/>
      <c r="J95" s="105">
        <v>0.0</v>
      </c>
      <c r="K95" s="111">
        <v>0.0</v>
      </c>
      <c r="L95" s="111">
        <v>0.0</v>
      </c>
      <c r="M95" s="111">
        <v>0.0</v>
      </c>
      <c r="N95" s="112">
        <v>0.0</v>
      </c>
      <c r="O95" s="67"/>
      <c r="P95" s="106"/>
      <c r="Q95" s="107">
        <v>0.0</v>
      </c>
      <c r="R95" s="108">
        <v>0.0</v>
      </c>
      <c r="S95" s="108">
        <v>0.0</v>
      </c>
      <c r="T95" s="108">
        <v>0.0</v>
      </c>
      <c r="U95" s="108">
        <v>0.0</v>
      </c>
      <c r="V95" s="14"/>
      <c r="W95" s="14"/>
    </row>
    <row r="96">
      <c r="A96" s="151" t="s">
        <v>67</v>
      </c>
      <c r="B96" s="90" t="s">
        <v>47</v>
      </c>
      <c r="C96" s="91">
        <v>1.0</v>
      </c>
      <c r="D96" s="92">
        <f t="shared" ref="D96:G96" si="115">C96+D97</f>
        <v>1</v>
      </c>
      <c r="E96" s="92">
        <f t="shared" si="115"/>
        <v>1</v>
      </c>
      <c r="F96" s="92">
        <f t="shared" si="115"/>
        <v>1</v>
      </c>
      <c r="G96" s="93">
        <f t="shared" si="115"/>
        <v>1</v>
      </c>
      <c r="H96" s="72"/>
      <c r="I96" s="109"/>
      <c r="J96" s="95">
        <f>G96+J97</f>
        <v>0.75</v>
      </c>
      <c r="K96" s="96">
        <f t="shared" ref="K96:N96" si="116">J96+K97</f>
        <v>0.75</v>
      </c>
      <c r="L96" s="96">
        <f t="shared" si="116"/>
        <v>0.75</v>
      </c>
      <c r="M96" s="96">
        <f t="shared" si="116"/>
        <v>0.75</v>
      </c>
      <c r="N96" s="97">
        <f t="shared" si="116"/>
        <v>0.75</v>
      </c>
      <c r="O96" s="73"/>
      <c r="P96" s="110"/>
      <c r="Q96" s="99">
        <f>G96+Q97</f>
        <v>1.5</v>
      </c>
      <c r="R96" s="100">
        <f t="shared" ref="R96:U96" si="117">Q96+R97</f>
        <v>1.5</v>
      </c>
      <c r="S96" s="100">
        <f t="shared" si="117"/>
        <v>1.5</v>
      </c>
      <c r="T96" s="100">
        <f t="shared" si="117"/>
        <v>1.5</v>
      </c>
      <c r="U96" s="100">
        <f t="shared" si="117"/>
        <v>2</v>
      </c>
      <c r="V96" s="74" t="s">
        <v>84</v>
      </c>
      <c r="W96" s="74"/>
    </row>
    <row r="97">
      <c r="A97" s="14"/>
      <c r="B97" s="101" t="s">
        <v>50</v>
      </c>
      <c r="C97" s="102"/>
      <c r="D97" s="103">
        <v>0.0</v>
      </c>
      <c r="E97" s="103">
        <v>0.0</v>
      </c>
      <c r="F97" s="103">
        <v>0.0</v>
      </c>
      <c r="G97" s="117">
        <v>0.0</v>
      </c>
      <c r="H97" s="76"/>
      <c r="I97" s="120"/>
      <c r="J97" s="105">
        <v>-0.25</v>
      </c>
      <c r="K97" s="111">
        <v>0.0</v>
      </c>
      <c r="L97" s="111">
        <v>0.0</v>
      </c>
      <c r="M97" s="111">
        <v>0.0</v>
      </c>
      <c r="N97" s="112">
        <v>0.0</v>
      </c>
      <c r="O97" s="67"/>
      <c r="P97" s="106"/>
      <c r="Q97" s="107">
        <v>0.5</v>
      </c>
      <c r="R97" s="108">
        <v>0.0</v>
      </c>
      <c r="S97" s="108">
        <v>0.0</v>
      </c>
      <c r="T97" s="108">
        <v>0.0</v>
      </c>
      <c r="U97" s="108">
        <v>0.5</v>
      </c>
      <c r="V97" s="14"/>
      <c r="W97" s="14"/>
    </row>
    <row r="98">
      <c r="A98" s="121"/>
      <c r="B98" s="121"/>
      <c r="C98" s="121"/>
      <c r="D98" s="121"/>
      <c r="E98" s="121"/>
      <c r="F98" s="121"/>
      <c r="G98" s="121"/>
      <c r="H98" s="122" t="s">
        <v>69</v>
      </c>
      <c r="I98" s="13"/>
      <c r="J98" s="123" t="s">
        <v>30</v>
      </c>
      <c r="K98" s="123">
        <v>7.0</v>
      </c>
      <c r="L98" s="123">
        <v>8.0</v>
      </c>
      <c r="M98" s="123">
        <v>9.0</v>
      </c>
      <c r="N98" s="123">
        <v>10.0</v>
      </c>
      <c r="O98" s="124" t="s">
        <v>69</v>
      </c>
      <c r="P98" s="79"/>
      <c r="Q98" s="125" t="s">
        <v>30</v>
      </c>
      <c r="R98" s="125">
        <v>7.0</v>
      </c>
      <c r="S98" s="125">
        <v>8.0</v>
      </c>
      <c r="T98" s="125">
        <v>9.0</v>
      </c>
      <c r="U98" s="125">
        <v>10.0</v>
      </c>
      <c r="V98" s="80"/>
      <c r="W98" s="80"/>
    </row>
    <row r="99">
      <c r="A99" s="121"/>
      <c r="B99" s="121"/>
      <c r="C99" s="121"/>
      <c r="D99" s="121"/>
      <c r="E99" s="121"/>
      <c r="F99" s="121"/>
      <c r="G99" s="121"/>
      <c r="H99" s="81" t="s">
        <v>93</v>
      </c>
      <c r="I99" s="127" t="s">
        <v>47</v>
      </c>
      <c r="J99" s="128">
        <v>3.0</v>
      </c>
      <c r="K99" s="96">
        <f t="shared" ref="K99:N99" si="118">J99+K100</f>
        <v>3</v>
      </c>
      <c r="L99" s="96">
        <f t="shared" si="118"/>
        <v>4</v>
      </c>
      <c r="M99" s="96">
        <f t="shared" si="118"/>
        <v>4</v>
      </c>
      <c r="N99" s="96">
        <f t="shared" si="118"/>
        <v>8</v>
      </c>
      <c r="O99" s="83" t="s">
        <v>94</v>
      </c>
      <c r="P99" s="130" t="s">
        <v>47</v>
      </c>
      <c r="Q99" s="131">
        <v>15.0</v>
      </c>
      <c r="R99" s="100">
        <f t="shared" ref="R99:U99" si="119">Q99+R100</f>
        <v>18</v>
      </c>
      <c r="S99" s="100">
        <f t="shared" si="119"/>
        <v>21</v>
      </c>
      <c r="T99" s="100">
        <f t="shared" si="119"/>
        <v>24</v>
      </c>
      <c r="U99" s="100">
        <f t="shared" si="119"/>
        <v>30</v>
      </c>
      <c r="V99" s="58" t="s">
        <v>64</v>
      </c>
      <c r="W99" s="58"/>
    </row>
    <row r="100">
      <c r="A100" s="121"/>
      <c r="B100" s="121"/>
      <c r="C100" s="121"/>
      <c r="D100" s="121"/>
      <c r="E100" s="121"/>
      <c r="F100" s="121"/>
      <c r="G100" s="121"/>
      <c r="H100" s="14"/>
      <c r="I100" s="132" t="s">
        <v>50</v>
      </c>
      <c r="J100" s="133"/>
      <c r="K100" s="111">
        <v>0.0</v>
      </c>
      <c r="L100" s="111">
        <v>1.0</v>
      </c>
      <c r="M100" s="111">
        <v>0.0</v>
      </c>
      <c r="N100" s="111">
        <v>4.0</v>
      </c>
      <c r="O100" s="14"/>
      <c r="P100" s="134" t="s">
        <v>50</v>
      </c>
      <c r="Q100" s="135"/>
      <c r="R100" s="108">
        <v>3.0</v>
      </c>
      <c r="S100" s="108">
        <v>3.0</v>
      </c>
      <c r="T100" s="108">
        <v>3.0</v>
      </c>
      <c r="U100" s="108">
        <v>6.0</v>
      </c>
      <c r="V100" s="14"/>
      <c r="W100" s="14"/>
    </row>
    <row r="101">
      <c r="A101" s="121"/>
      <c r="B101" s="121"/>
      <c r="C101" s="121"/>
      <c r="D101" s="121"/>
      <c r="E101" s="121"/>
      <c r="F101" s="121"/>
      <c r="G101" s="121"/>
      <c r="H101" s="159"/>
      <c r="I101" s="127" t="s">
        <v>47</v>
      </c>
      <c r="J101" s="96"/>
      <c r="K101" s="96">
        <f t="shared" ref="K101:N101" si="120">J101+K102</f>
        <v>0</v>
      </c>
      <c r="L101" s="96">
        <f t="shared" si="120"/>
        <v>0</v>
      </c>
      <c r="M101" s="96">
        <f t="shared" si="120"/>
        <v>0</v>
      </c>
      <c r="N101" s="96">
        <f t="shared" si="120"/>
        <v>0</v>
      </c>
      <c r="O101" s="83" t="s">
        <v>95</v>
      </c>
      <c r="P101" s="160" t="s">
        <v>47</v>
      </c>
      <c r="Q101" s="161">
        <v>10.0</v>
      </c>
      <c r="R101" s="100">
        <f t="shared" ref="R101:U101" si="121">Q101+R102</f>
        <v>10</v>
      </c>
      <c r="S101" s="100">
        <f t="shared" si="121"/>
        <v>10</v>
      </c>
      <c r="T101" s="100">
        <f t="shared" si="121"/>
        <v>10</v>
      </c>
      <c r="U101" s="100">
        <f t="shared" si="121"/>
        <v>10</v>
      </c>
      <c r="V101" s="74" t="s">
        <v>64</v>
      </c>
      <c r="W101" s="75"/>
    </row>
    <row r="102">
      <c r="A102" s="121"/>
      <c r="B102" s="121"/>
      <c r="C102" s="121"/>
      <c r="D102" s="121"/>
      <c r="E102" s="121"/>
      <c r="F102" s="121"/>
      <c r="G102" s="121"/>
      <c r="H102" s="14"/>
      <c r="I102" s="132" t="s">
        <v>50</v>
      </c>
      <c r="J102" s="133"/>
      <c r="K102" s="157"/>
      <c r="L102" s="157"/>
      <c r="M102" s="157"/>
      <c r="N102" s="157"/>
      <c r="O102" s="14"/>
      <c r="P102" s="162" t="s">
        <v>50</v>
      </c>
      <c r="Q102" s="135"/>
      <c r="R102" s="163">
        <v>0.0</v>
      </c>
      <c r="S102" s="163">
        <v>0.0</v>
      </c>
      <c r="T102" s="163">
        <v>0.0</v>
      </c>
      <c r="U102" s="163">
        <v>0.0</v>
      </c>
      <c r="V102" s="14"/>
      <c r="W102" s="14"/>
    </row>
    <row r="103">
      <c r="H103" s="121"/>
      <c r="O103" s="121"/>
    </row>
    <row r="104">
      <c r="H104" s="121"/>
      <c r="O104" s="121"/>
    </row>
    <row r="105">
      <c r="A105" s="140" t="s">
        <v>96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3"/>
    </row>
    <row r="106">
      <c r="A106" s="141" t="s">
        <v>41</v>
      </c>
      <c r="B106" s="12"/>
      <c r="C106" s="12"/>
      <c r="D106" s="12"/>
      <c r="E106" s="12"/>
      <c r="F106" s="12"/>
      <c r="G106" s="13"/>
      <c r="H106" s="142" t="s">
        <v>97</v>
      </c>
      <c r="I106" s="30"/>
      <c r="J106" s="30"/>
      <c r="K106" s="30"/>
      <c r="L106" s="30"/>
      <c r="M106" s="30"/>
      <c r="N106" s="31"/>
      <c r="O106" s="143" t="s">
        <v>98</v>
      </c>
      <c r="P106" s="30"/>
      <c r="Q106" s="30"/>
      <c r="R106" s="30"/>
      <c r="S106" s="30"/>
      <c r="T106" s="30"/>
      <c r="U106" s="31"/>
      <c r="V106" s="33"/>
      <c r="W106" s="33"/>
    </row>
    <row r="107">
      <c r="A107" s="144"/>
      <c r="B107" s="144"/>
      <c r="C107" s="145" t="s">
        <v>30</v>
      </c>
      <c r="D107" s="145">
        <v>2.0</v>
      </c>
      <c r="E107" s="145">
        <v>3.0</v>
      </c>
      <c r="F107" s="145">
        <v>4.0</v>
      </c>
      <c r="G107" s="141">
        <v>5.0</v>
      </c>
      <c r="H107" s="37"/>
      <c r="I107" s="146"/>
      <c r="J107" s="147">
        <v>6.0</v>
      </c>
      <c r="K107" s="123">
        <v>7.0</v>
      </c>
      <c r="L107" s="123">
        <v>8.0</v>
      </c>
      <c r="M107" s="123">
        <v>9.0</v>
      </c>
      <c r="N107" s="122">
        <v>10.0</v>
      </c>
      <c r="O107" s="41"/>
      <c r="P107" s="148"/>
      <c r="Q107" s="149">
        <v>6.0</v>
      </c>
      <c r="R107" s="125">
        <v>7.0</v>
      </c>
      <c r="S107" s="125">
        <v>8.0</v>
      </c>
      <c r="T107" s="125">
        <v>9.0</v>
      </c>
      <c r="U107" s="125">
        <v>10.0</v>
      </c>
      <c r="V107" s="14"/>
      <c r="W107" s="14"/>
    </row>
    <row r="108">
      <c r="A108" s="150" t="s">
        <v>46</v>
      </c>
      <c r="B108" s="90" t="s">
        <v>47</v>
      </c>
      <c r="C108" s="91">
        <v>20.0</v>
      </c>
      <c r="D108" s="92">
        <f t="shared" ref="D108:G108" si="122">C108+D109</f>
        <v>25</v>
      </c>
      <c r="E108" s="92">
        <f t="shared" si="122"/>
        <v>30</v>
      </c>
      <c r="F108" s="92">
        <f t="shared" si="122"/>
        <v>35</v>
      </c>
      <c r="G108" s="93">
        <f t="shared" si="122"/>
        <v>40</v>
      </c>
      <c r="H108" s="50"/>
      <c r="I108" s="94"/>
      <c r="J108" s="95">
        <f>G108+J109</f>
        <v>45</v>
      </c>
      <c r="K108" s="96">
        <f t="shared" ref="K108:N108" si="123">J108+K109</f>
        <v>55</v>
      </c>
      <c r="L108" s="96">
        <f t="shared" si="123"/>
        <v>60</v>
      </c>
      <c r="M108" s="96">
        <f t="shared" si="123"/>
        <v>70</v>
      </c>
      <c r="N108" s="97">
        <f t="shared" si="123"/>
        <v>100</v>
      </c>
      <c r="O108" s="54"/>
      <c r="P108" s="98"/>
      <c r="Q108" s="99">
        <f>G108+Q109</f>
        <v>300</v>
      </c>
      <c r="R108" s="100">
        <f t="shared" ref="R108:U108" si="124">Q108+R109</f>
        <v>340</v>
      </c>
      <c r="S108" s="100">
        <f t="shared" si="124"/>
        <v>380</v>
      </c>
      <c r="T108" s="100">
        <f t="shared" si="124"/>
        <v>420</v>
      </c>
      <c r="U108" s="100">
        <f t="shared" si="124"/>
        <v>600</v>
      </c>
      <c r="V108" s="58" t="s">
        <v>48</v>
      </c>
      <c r="W108" s="58" t="s">
        <v>99</v>
      </c>
    </row>
    <row r="109">
      <c r="A109" s="14"/>
      <c r="B109" s="101" t="s">
        <v>50</v>
      </c>
      <c r="C109" s="102"/>
      <c r="D109" s="103">
        <v>5.0</v>
      </c>
      <c r="E109" s="103">
        <v>5.0</v>
      </c>
      <c r="F109" s="103">
        <v>5.0</v>
      </c>
      <c r="G109" s="117">
        <v>5.0</v>
      </c>
      <c r="H109" s="63"/>
      <c r="I109" s="104"/>
      <c r="J109" s="105">
        <v>5.0</v>
      </c>
      <c r="K109" s="111">
        <v>10.0</v>
      </c>
      <c r="L109" s="111">
        <v>5.0</v>
      </c>
      <c r="M109" s="111">
        <v>10.0</v>
      </c>
      <c r="N109" s="112">
        <v>30.0</v>
      </c>
      <c r="O109" s="67"/>
      <c r="P109" s="106"/>
      <c r="Q109" s="107">
        <v>260.0</v>
      </c>
      <c r="R109" s="108">
        <v>40.0</v>
      </c>
      <c r="S109" s="108">
        <v>40.0</v>
      </c>
      <c r="T109" s="108">
        <v>40.0</v>
      </c>
      <c r="U109" s="108">
        <v>180.0</v>
      </c>
      <c r="V109" s="14"/>
      <c r="W109" s="14"/>
    </row>
    <row r="110">
      <c r="A110" s="151" t="s">
        <v>51</v>
      </c>
      <c r="B110" s="90" t="s">
        <v>47</v>
      </c>
      <c r="C110" s="91">
        <v>25.0</v>
      </c>
      <c r="D110" s="92">
        <f t="shared" ref="D110:G110" si="125">C110+D111</f>
        <v>25</v>
      </c>
      <c r="E110" s="92">
        <f t="shared" si="125"/>
        <v>25</v>
      </c>
      <c r="F110" s="92">
        <f t="shared" si="125"/>
        <v>25</v>
      </c>
      <c r="G110" s="93">
        <f t="shared" si="125"/>
        <v>25</v>
      </c>
      <c r="H110" s="72"/>
      <c r="I110" s="109"/>
      <c r="J110" s="95">
        <f>G110+J111</f>
        <v>25</v>
      </c>
      <c r="K110" s="96">
        <f t="shared" ref="K110:N110" si="126">J110+K111</f>
        <v>25</v>
      </c>
      <c r="L110" s="96">
        <f t="shared" si="126"/>
        <v>25</v>
      </c>
      <c r="M110" s="96">
        <f t="shared" si="126"/>
        <v>25</v>
      </c>
      <c r="N110" s="97">
        <f t="shared" si="126"/>
        <v>25</v>
      </c>
      <c r="O110" s="73"/>
      <c r="P110" s="110"/>
      <c r="Q110" s="99">
        <f>G110+Q111</f>
        <v>50</v>
      </c>
      <c r="R110" s="100">
        <f t="shared" ref="R110:U110" si="127">Q110+R111</f>
        <v>50</v>
      </c>
      <c r="S110" s="100">
        <f t="shared" si="127"/>
        <v>50</v>
      </c>
      <c r="T110" s="100">
        <f t="shared" si="127"/>
        <v>50</v>
      </c>
      <c r="U110" s="100">
        <f t="shared" si="127"/>
        <v>50</v>
      </c>
      <c r="V110" s="74" t="s">
        <v>64</v>
      </c>
      <c r="W110" s="75"/>
    </row>
    <row r="111">
      <c r="A111" s="14"/>
      <c r="B111" s="101" t="s">
        <v>50</v>
      </c>
      <c r="C111" s="102"/>
      <c r="D111" s="103">
        <v>0.0</v>
      </c>
      <c r="E111" s="103">
        <v>0.0</v>
      </c>
      <c r="F111" s="103">
        <v>0.0</v>
      </c>
      <c r="G111" s="117">
        <v>0.0</v>
      </c>
      <c r="H111" s="63"/>
      <c r="I111" s="104"/>
      <c r="J111" s="105">
        <v>0.0</v>
      </c>
      <c r="K111" s="111">
        <v>0.0</v>
      </c>
      <c r="L111" s="111">
        <v>0.0</v>
      </c>
      <c r="M111" s="111">
        <v>0.0</v>
      </c>
      <c r="N111" s="112">
        <v>0.0</v>
      </c>
      <c r="O111" s="67"/>
      <c r="P111" s="106"/>
      <c r="Q111" s="107">
        <v>25.0</v>
      </c>
      <c r="R111" s="108">
        <v>0.0</v>
      </c>
      <c r="S111" s="108">
        <v>0.0</v>
      </c>
      <c r="T111" s="108">
        <v>0.0</v>
      </c>
      <c r="U111" s="108">
        <v>0.0</v>
      </c>
      <c r="V111" s="14"/>
      <c r="W111" s="14"/>
    </row>
    <row r="112">
      <c r="A112" s="152" t="s">
        <v>90</v>
      </c>
      <c r="B112" s="90" t="s">
        <v>47</v>
      </c>
      <c r="C112" s="164">
        <v>0.75</v>
      </c>
      <c r="D112" s="92">
        <f t="shared" ref="D112:G112" si="128">C112+D113</f>
        <v>0.85</v>
      </c>
      <c r="E112" s="92">
        <f t="shared" si="128"/>
        <v>0.95</v>
      </c>
      <c r="F112" s="92">
        <f t="shared" si="128"/>
        <v>1.05</v>
      </c>
      <c r="G112" s="93">
        <f t="shared" si="128"/>
        <v>1.25</v>
      </c>
      <c r="H112" s="72"/>
      <c r="I112" s="109"/>
      <c r="J112" s="95">
        <f>G112+J113</f>
        <v>3.5</v>
      </c>
      <c r="K112" s="96">
        <f t="shared" ref="K112:N112" si="129">J112+K113</f>
        <v>4</v>
      </c>
      <c r="L112" s="96">
        <f t="shared" si="129"/>
        <v>4.5</v>
      </c>
      <c r="M112" s="96">
        <f t="shared" si="129"/>
        <v>5</v>
      </c>
      <c r="N112" s="97">
        <f t="shared" si="129"/>
        <v>10</v>
      </c>
      <c r="O112" s="73"/>
      <c r="P112" s="110"/>
      <c r="Q112" s="99">
        <f>G112+Q113</f>
        <v>0.5</v>
      </c>
      <c r="R112" s="100">
        <f t="shared" ref="R112:U112" si="130">Q112+R113</f>
        <v>0.6</v>
      </c>
      <c r="S112" s="100">
        <f t="shared" si="130"/>
        <v>0.7</v>
      </c>
      <c r="T112" s="100">
        <f t="shared" si="130"/>
        <v>0.8</v>
      </c>
      <c r="U112" s="100">
        <f t="shared" si="130"/>
        <v>1.9</v>
      </c>
      <c r="V112" s="58" t="s">
        <v>81</v>
      </c>
      <c r="W112" s="58" t="s">
        <v>100</v>
      </c>
    </row>
    <row r="113">
      <c r="A113" s="14"/>
      <c r="B113" s="101" t="s">
        <v>50</v>
      </c>
      <c r="C113" s="102"/>
      <c r="D113" s="165">
        <v>0.1</v>
      </c>
      <c r="E113" s="165">
        <v>0.1</v>
      </c>
      <c r="F113" s="165">
        <v>0.1</v>
      </c>
      <c r="G113" s="165">
        <v>0.2</v>
      </c>
      <c r="H113" s="63"/>
      <c r="I113" s="104"/>
      <c r="J113" s="166">
        <v>2.25</v>
      </c>
      <c r="K113" s="162">
        <v>0.5</v>
      </c>
      <c r="L113" s="162">
        <v>0.5</v>
      </c>
      <c r="M113" s="162">
        <v>0.5</v>
      </c>
      <c r="N113" s="167">
        <v>5.0</v>
      </c>
      <c r="O113" s="67"/>
      <c r="P113" s="106"/>
      <c r="Q113" s="168">
        <v>-0.75</v>
      </c>
      <c r="R113" s="163">
        <v>0.1</v>
      </c>
      <c r="S113" s="163">
        <v>0.1</v>
      </c>
      <c r="T113" s="163">
        <v>0.1</v>
      </c>
      <c r="U113" s="163">
        <v>1.1</v>
      </c>
      <c r="V113" s="14"/>
      <c r="W113" s="14"/>
    </row>
    <row r="114">
      <c r="A114" s="151" t="s">
        <v>53</v>
      </c>
      <c r="B114" s="90" t="s">
        <v>47</v>
      </c>
      <c r="C114" s="91">
        <v>40.0</v>
      </c>
      <c r="D114" s="92">
        <f t="shared" ref="D114:G114" si="131">C114+D115</f>
        <v>45</v>
      </c>
      <c r="E114" s="92">
        <f t="shared" si="131"/>
        <v>50</v>
      </c>
      <c r="F114" s="92">
        <f t="shared" si="131"/>
        <v>55</v>
      </c>
      <c r="G114" s="93">
        <f t="shared" si="131"/>
        <v>60</v>
      </c>
      <c r="H114" s="72"/>
      <c r="I114" s="109"/>
      <c r="J114" s="95">
        <f>G114+J115</f>
        <v>60</v>
      </c>
      <c r="K114" s="96">
        <f t="shared" ref="K114:N114" si="132">J114+K115</f>
        <v>60</v>
      </c>
      <c r="L114" s="96">
        <f t="shared" si="132"/>
        <v>60</v>
      </c>
      <c r="M114" s="96">
        <f t="shared" si="132"/>
        <v>60</v>
      </c>
      <c r="N114" s="97">
        <f t="shared" si="132"/>
        <v>60</v>
      </c>
      <c r="O114" s="73"/>
      <c r="P114" s="110"/>
      <c r="Q114" s="99">
        <f>G114+Q115</f>
        <v>120</v>
      </c>
      <c r="R114" s="100">
        <f t="shared" ref="R114:U114" si="133">Q114+R115</f>
        <v>120</v>
      </c>
      <c r="S114" s="100">
        <f t="shared" si="133"/>
        <v>120</v>
      </c>
      <c r="T114" s="100">
        <f t="shared" si="133"/>
        <v>120</v>
      </c>
      <c r="U114" s="100">
        <f t="shared" si="133"/>
        <v>120</v>
      </c>
      <c r="V114" s="74" t="s">
        <v>64</v>
      </c>
      <c r="W114" s="75"/>
    </row>
    <row r="115">
      <c r="A115" s="14"/>
      <c r="B115" s="101" t="s">
        <v>50</v>
      </c>
      <c r="C115" s="102"/>
      <c r="D115" s="103">
        <v>5.0</v>
      </c>
      <c r="E115" s="103">
        <v>5.0</v>
      </c>
      <c r="F115" s="103">
        <v>5.0</v>
      </c>
      <c r="G115" s="117">
        <v>5.0</v>
      </c>
      <c r="H115" s="63"/>
      <c r="I115" s="104"/>
      <c r="J115" s="105">
        <v>0.0</v>
      </c>
      <c r="K115" s="111">
        <v>0.0</v>
      </c>
      <c r="L115" s="111">
        <v>0.0</v>
      </c>
      <c r="M115" s="111">
        <v>0.0</v>
      </c>
      <c r="N115" s="112">
        <v>0.0</v>
      </c>
      <c r="O115" s="67"/>
      <c r="P115" s="106"/>
      <c r="Q115" s="107">
        <v>60.0</v>
      </c>
      <c r="R115" s="108">
        <v>0.0</v>
      </c>
      <c r="S115" s="108">
        <v>0.0</v>
      </c>
      <c r="T115" s="108">
        <v>0.0</v>
      </c>
      <c r="U115" s="108">
        <v>0.0</v>
      </c>
      <c r="V115" s="14"/>
      <c r="W115" s="14"/>
    </row>
    <row r="116">
      <c r="A116" s="152" t="s">
        <v>91</v>
      </c>
      <c r="B116" s="90" t="s">
        <v>47</v>
      </c>
      <c r="C116" s="91">
        <v>1.0</v>
      </c>
      <c r="D116" s="92">
        <f t="shared" ref="D116:G116" si="134">C116+D117</f>
        <v>1.1</v>
      </c>
      <c r="E116" s="92">
        <f t="shared" si="134"/>
        <v>1.2</v>
      </c>
      <c r="F116" s="92">
        <f t="shared" si="134"/>
        <v>1.3</v>
      </c>
      <c r="G116" s="93">
        <f t="shared" si="134"/>
        <v>1.5</v>
      </c>
      <c r="H116" s="72"/>
      <c r="I116" s="109"/>
      <c r="J116" s="95">
        <f>G116+J117</f>
        <v>6</v>
      </c>
      <c r="K116" s="96">
        <f t="shared" ref="K116:N116" si="135">J116+K117</f>
        <v>6.75</v>
      </c>
      <c r="L116" s="96">
        <f t="shared" si="135"/>
        <v>7.5</v>
      </c>
      <c r="M116" s="96">
        <f t="shared" si="135"/>
        <v>8.25</v>
      </c>
      <c r="N116" s="97">
        <f t="shared" si="135"/>
        <v>11</v>
      </c>
      <c r="O116" s="73"/>
      <c r="P116" s="110"/>
      <c r="Q116" s="99">
        <f>G116+Q117</f>
        <v>0.75</v>
      </c>
      <c r="R116" s="100">
        <f t="shared" ref="R116:U116" si="136">Q116+R117</f>
        <v>0.85</v>
      </c>
      <c r="S116" s="100">
        <f t="shared" si="136"/>
        <v>0.95</v>
      </c>
      <c r="T116" s="100">
        <f t="shared" si="136"/>
        <v>1.05</v>
      </c>
      <c r="U116" s="100">
        <f t="shared" si="136"/>
        <v>2</v>
      </c>
      <c r="V116" s="58" t="s">
        <v>81</v>
      </c>
      <c r="W116" s="58" t="s">
        <v>100</v>
      </c>
    </row>
    <row r="117">
      <c r="A117" s="14"/>
      <c r="B117" s="101" t="s">
        <v>50</v>
      </c>
      <c r="C117" s="102"/>
      <c r="D117" s="103">
        <v>0.1</v>
      </c>
      <c r="E117" s="103">
        <v>0.1</v>
      </c>
      <c r="F117" s="103">
        <v>0.1</v>
      </c>
      <c r="G117" s="117">
        <v>0.2</v>
      </c>
      <c r="H117" s="63"/>
      <c r="I117" s="104"/>
      <c r="J117" s="105">
        <v>4.5</v>
      </c>
      <c r="K117" s="111">
        <v>0.75</v>
      </c>
      <c r="L117" s="111">
        <v>0.75</v>
      </c>
      <c r="M117" s="111">
        <v>0.75</v>
      </c>
      <c r="N117" s="112">
        <v>2.75</v>
      </c>
      <c r="O117" s="67"/>
      <c r="P117" s="106"/>
      <c r="Q117" s="107">
        <v>-0.75</v>
      </c>
      <c r="R117" s="108">
        <v>0.1</v>
      </c>
      <c r="S117" s="108">
        <v>0.1</v>
      </c>
      <c r="T117" s="108">
        <v>0.1</v>
      </c>
      <c r="U117" s="108">
        <v>0.95</v>
      </c>
      <c r="V117" s="14"/>
      <c r="W117" s="14"/>
    </row>
    <row r="118">
      <c r="A118" s="151" t="s">
        <v>55</v>
      </c>
      <c r="B118" s="90" t="s">
        <v>47</v>
      </c>
      <c r="C118" s="91">
        <v>200.0</v>
      </c>
      <c r="D118" s="92">
        <f t="shared" ref="D118:G118" si="137">C118+D119</f>
        <v>220</v>
      </c>
      <c r="E118" s="92">
        <f t="shared" si="137"/>
        <v>240</v>
      </c>
      <c r="F118" s="92">
        <f t="shared" si="137"/>
        <v>260</v>
      </c>
      <c r="G118" s="93">
        <f t="shared" si="137"/>
        <v>280</v>
      </c>
      <c r="H118" s="72"/>
      <c r="I118" s="109"/>
      <c r="J118" s="95">
        <f>G118+J119</f>
        <v>400</v>
      </c>
      <c r="K118" s="96">
        <f t="shared" ref="K118:N118" si="138">J118+K119</f>
        <v>440</v>
      </c>
      <c r="L118" s="96">
        <f t="shared" si="138"/>
        <v>480</v>
      </c>
      <c r="M118" s="96">
        <f t="shared" si="138"/>
        <v>520</v>
      </c>
      <c r="N118" s="97">
        <f t="shared" si="138"/>
        <v>600</v>
      </c>
      <c r="O118" s="73"/>
      <c r="P118" s="110"/>
      <c r="Q118" s="99">
        <f>G118+Q119</f>
        <v>40</v>
      </c>
      <c r="R118" s="100">
        <f t="shared" ref="R118:U118" si="139">Q118+R119</f>
        <v>45</v>
      </c>
      <c r="S118" s="100">
        <f t="shared" si="139"/>
        <v>50</v>
      </c>
      <c r="T118" s="100">
        <f t="shared" si="139"/>
        <v>55</v>
      </c>
      <c r="U118" s="100">
        <f t="shared" si="139"/>
        <v>80</v>
      </c>
      <c r="V118" s="74" t="s">
        <v>56</v>
      </c>
      <c r="W118" s="74"/>
    </row>
    <row r="119">
      <c r="A119" s="14"/>
      <c r="B119" s="101" t="s">
        <v>50</v>
      </c>
      <c r="C119" s="102"/>
      <c r="D119" s="103">
        <v>20.0</v>
      </c>
      <c r="E119" s="103">
        <v>20.0</v>
      </c>
      <c r="F119" s="103">
        <v>20.0</v>
      </c>
      <c r="G119" s="117">
        <v>20.0</v>
      </c>
      <c r="H119" s="63"/>
      <c r="I119" s="104"/>
      <c r="J119" s="105">
        <v>120.0</v>
      </c>
      <c r="K119" s="111">
        <v>40.0</v>
      </c>
      <c r="L119" s="111">
        <v>40.0</v>
      </c>
      <c r="M119" s="111">
        <v>40.0</v>
      </c>
      <c r="N119" s="112">
        <v>80.0</v>
      </c>
      <c r="O119" s="67"/>
      <c r="P119" s="106"/>
      <c r="Q119" s="107">
        <v>-240.0</v>
      </c>
      <c r="R119" s="108">
        <v>5.0</v>
      </c>
      <c r="S119" s="108">
        <v>5.0</v>
      </c>
      <c r="T119" s="108">
        <v>5.0</v>
      </c>
      <c r="U119" s="108">
        <v>25.0</v>
      </c>
      <c r="V119" s="14"/>
      <c r="W119" s="14"/>
    </row>
    <row r="120">
      <c r="A120" s="150" t="s">
        <v>61</v>
      </c>
      <c r="B120" s="90" t="s">
        <v>47</v>
      </c>
      <c r="C120" s="91">
        <v>6.0</v>
      </c>
      <c r="D120" s="92">
        <f t="shared" ref="D120:G120" si="140">C120+D121</f>
        <v>5.5</v>
      </c>
      <c r="E120" s="92">
        <f t="shared" si="140"/>
        <v>5</v>
      </c>
      <c r="F120" s="92">
        <f t="shared" si="140"/>
        <v>4.5</v>
      </c>
      <c r="G120" s="93">
        <f t="shared" si="140"/>
        <v>4</v>
      </c>
      <c r="H120" s="72"/>
      <c r="I120" s="109"/>
      <c r="J120" s="95">
        <f>G120+J121</f>
        <v>3.75</v>
      </c>
      <c r="K120" s="96">
        <f t="shared" ref="K120:N120" si="141">J120+K121</f>
        <v>3.5</v>
      </c>
      <c r="L120" s="96">
        <f t="shared" si="141"/>
        <v>3.25</v>
      </c>
      <c r="M120" s="96">
        <f t="shared" si="141"/>
        <v>3</v>
      </c>
      <c r="N120" s="97">
        <f t="shared" si="141"/>
        <v>2</v>
      </c>
      <c r="O120" s="73"/>
      <c r="P120" s="110"/>
      <c r="Q120" s="99">
        <f>G120+Q121</f>
        <v>3.75</v>
      </c>
      <c r="R120" s="100">
        <f t="shared" ref="R120:U120" si="142">Q120+R121</f>
        <v>3.5</v>
      </c>
      <c r="S120" s="100">
        <f t="shared" si="142"/>
        <v>3.25</v>
      </c>
      <c r="T120" s="100">
        <f t="shared" si="142"/>
        <v>3</v>
      </c>
      <c r="U120" s="100">
        <f t="shared" si="142"/>
        <v>2</v>
      </c>
      <c r="V120" s="58" t="s">
        <v>62</v>
      </c>
      <c r="W120" s="58"/>
    </row>
    <row r="121">
      <c r="A121" s="14"/>
      <c r="B121" s="101" t="s">
        <v>50</v>
      </c>
      <c r="C121" s="102"/>
      <c r="D121" s="103">
        <v>-0.5</v>
      </c>
      <c r="E121" s="103">
        <v>-0.5</v>
      </c>
      <c r="F121" s="103">
        <v>-0.5</v>
      </c>
      <c r="G121" s="103">
        <v>-0.5</v>
      </c>
      <c r="H121" s="63"/>
      <c r="I121" s="104"/>
      <c r="J121" s="105">
        <v>-0.25</v>
      </c>
      <c r="K121" s="105">
        <v>-0.25</v>
      </c>
      <c r="L121" s="105">
        <v>-0.25</v>
      </c>
      <c r="M121" s="105">
        <v>-0.25</v>
      </c>
      <c r="N121" s="112">
        <v>-1.0</v>
      </c>
      <c r="O121" s="67"/>
      <c r="P121" s="106"/>
      <c r="Q121" s="107">
        <v>-0.25</v>
      </c>
      <c r="R121" s="108">
        <v>-0.25</v>
      </c>
      <c r="S121" s="108">
        <v>-0.25</v>
      </c>
      <c r="T121" s="108">
        <v>-0.25</v>
      </c>
      <c r="U121" s="108">
        <v>-1.0</v>
      </c>
      <c r="V121" s="14"/>
      <c r="W121" s="14"/>
    </row>
    <row r="122">
      <c r="A122" s="153" t="s">
        <v>58</v>
      </c>
      <c r="B122" s="90" t="s">
        <v>47</v>
      </c>
      <c r="C122" s="91">
        <v>20.0</v>
      </c>
      <c r="D122" s="92">
        <f t="shared" ref="D122:G122" si="143">C122+D123</f>
        <v>25</v>
      </c>
      <c r="E122" s="92">
        <f t="shared" si="143"/>
        <v>30</v>
      </c>
      <c r="F122" s="92">
        <f t="shared" si="143"/>
        <v>35</v>
      </c>
      <c r="G122" s="93">
        <f t="shared" si="143"/>
        <v>40</v>
      </c>
      <c r="H122" s="50"/>
      <c r="I122" s="94"/>
      <c r="J122" s="95">
        <f>G122+J123</f>
        <v>45</v>
      </c>
      <c r="K122" s="96">
        <f t="shared" ref="K122:N122" si="144">J122+K123</f>
        <v>55</v>
      </c>
      <c r="L122" s="96">
        <f t="shared" si="144"/>
        <v>60</v>
      </c>
      <c r="M122" s="96">
        <f t="shared" si="144"/>
        <v>70</v>
      </c>
      <c r="N122" s="97">
        <f t="shared" si="144"/>
        <v>100</v>
      </c>
      <c r="O122" s="54"/>
      <c r="P122" s="98"/>
      <c r="Q122" s="99">
        <f>G122+Q123</f>
        <v>1500</v>
      </c>
      <c r="R122" s="100">
        <f t="shared" ref="R122:U122" si="145">Q122+R123</f>
        <v>1700</v>
      </c>
      <c r="S122" s="100">
        <f t="shared" si="145"/>
        <v>1900</v>
      </c>
      <c r="T122" s="100">
        <f t="shared" si="145"/>
        <v>2100</v>
      </c>
      <c r="U122" s="100">
        <f t="shared" si="145"/>
        <v>3000</v>
      </c>
      <c r="V122" s="74" t="s">
        <v>59</v>
      </c>
      <c r="W122" s="74" t="s">
        <v>99</v>
      </c>
    </row>
    <row r="123">
      <c r="A123" s="14"/>
      <c r="B123" s="101" t="s">
        <v>50</v>
      </c>
      <c r="C123" s="102"/>
      <c r="D123" s="103">
        <v>5.0</v>
      </c>
      <c r="E123" s="103">
        <v>5.0</v>
      </c>
      <c r="F123" s="103">
        <v>5.0</v>
      </c>
      <c r="G123" s="117">
        <v>5.0</v>
      </c>
      <c r="H123" s="63"/>
      <c r="I123" s="104"/>
      <c r="J123" s="105">
        <v>5.0</v>
      </c>
      <c r="K123" s="111">
        <v>10.0</v>
      </c>
      <c r="L123" s="111">
        <v>5.0</v>
      </c>
      <c r="M123" s="111">
        <v>10.0</v>
      </c>
      <c r="N123" s="112">
        <v>30.0</v>
      </c>
      <c r="O123" s="67"/>
      <c r="P123" s="106"/>
      <c r="Q123" s="107">
        <v>1460.0</v>
      </c>
      <c r="R123" s="108">
        <v>200.0</v>
      </c>
      <c r="S123" s="108">
        <v>200.0</v>
      </c>
      <c r="T123" s="108">
        <v>200.0</v>
      </c>
      <c r="U123" s="108">
        <v>900.0</v>
      </c>
      <c r="V123" s="14"/>
      <c r="W123" s="14"/>
    </row>
    <row r="124">
      <c r="A124" s="150" t="s">
        <v>63</v>
      </c>
      <c r="B124" s="90" t="s">
        <v>47</v>
      </c>
      <c r="C124" s="91">
        <v>5.0</v>
      </c>
      <c r="D124" s="92">
        <f t="shared" ref="D124:G124" si="146">C124+D125</f>
        <v>10</v>
      </c>
      <c r="E124" s="92">
        <f t="shared" si="146"/>
        <v>15</v>
      </c>
      <c r="F124" s="92">
        <f t="shared" si="146"/>
        <v>20</v>
      </c>
      <c r="G124" s="93">
        <f t="shared" si="146"/>
        <v>25</v>
      </c>
      <c r="H124" s="72"/>
      <c r="I124" s="109"/>
      <c r="J124" s="95">
        <f>G124+J125</f>
        <v>30</v>
      </c>
      <c r="K124" s="96">
        <f t="shared" ref="K124:N124" si="147">J124+K125</f>
        <v>35</v>
      </c>
      <c r="L124" s="96">
        <f t="shared" si="147"/>
        <v>40</v>
      </c>
      <c r="M124" s="96">
        <f t="shared" si="147"/>
        <v>45</v>
      </c>
      <c r="N124" s="97">
        <f t="shared" si="147"/>
        <v>60</v>
      </c>
      <c r="O124" s="73"/>
      <c r="P124" s="110"/>
      <c r="Q124" s="99">
        <f>G124+Q125</f>
        <v>35</v>
      </c>
      <c r="R124" s="100">
        <f t="shared" ref="R124:U124" si="148">Q124+R125</f>
        <v>45</v>
      </c>
      <c r="S124" s="100">
        <f t="shared" si="148"/>
        <v>55</v>
      </c>
      <c r="T124" s="100">
        <f t="shared" si="148"/>
        <v>65</v>
      </c>
      <c r="U124" s="100">
        <f t="shared" si="148"/>
        <v>90</v>
      </c>
      <c r="V124" s="58" t="s">
        <v>83</v>
      </c>
      <c r="W124" s="119"/>
    </row>
    <row r="125">
      <c r="A125" s="14"/>
      <c r="B125" s="101" t="s">
        <v>50</v>
      </c>
      <c r="C125" s="102"/>
      <c r="D125" s="103">
        <v>5.0</v>
      </c>
      <c r="E125" s="103">
        <v>5.0</v>
      </c>
      <c r="F125" s="103">
        <v>5.0</v>
      </c>
      <c r="G125" s="117">
        <v>5.0</v>
      </c>
      <c r="H125" s="63"/>
      <c r="I125" s="104"/>
      <c r="J125" s="105">
        <v>5.0</v>
      </c>
      <c r="K125" s="111">
        <v>5.0</v>
      </c>
      <c r="L125" s="111">
        <v>5.0</v>
      </c>
      <c r="M125" s="111">
        <v>5.0</v>
      </c>
      <c r="N125" s="112">
        <v>15.0</v>
      </c>
      <c r="O125" s="67"/>
      <c r="P125" s="106"/>
      <c r="Q125" s="107">
        <v>10.0</v>
      </c>
      <c r="R125" s="108">
        <v>10.0</v>
      </c>
      <c r="S125" s="108">
        <v>10.0</v>
      </c>
      <c r="T125" s="108">
        <v>10.0</v>
      </c>
      <c r="U125" s="108">
        <v>25.0</v>
      </c>
      <c r="V125" s="14"/>
      <c r="W125" s="14"/>
    </row>
    <row r="126">
      <c r="A126" s="151" t="s">
        <v>65</v>
      </c>
      <c r="B126" s="90" t="s">
        <v>47</v>
      </c>
      <c r="C126" s="91">
        <v>100.0</v>
      </c>
      <c r="D126" s="92">
        <f t="shared" ref="D126:G126" si="149">C126+D127</f>
        <v>100</v>
      </c>
      <c r="E126" s="92">
        <f t="shared" si="149"/>
        <v>100</v>
      </c>
      <c r="F126" s="92">
        <f t="shared" si="149"/>
        <v>100</v>
      </c>
      <c r="G126" s="93">
        <f t="shared" si="149"/>
        <v>100</v>
      </c>
      <c r="H126" s="72"/>
      <c r="I126" s="109"/>
      <c r="J126" s="95">
        <f>G126+J127</f>
        <v>100</v>
      </c>
      <c r="K126" s="96">
        <f t="shared" ref="K126:N126" si="150">J126+K127</f>
        <v>100</v>
      </c>
      <c r="L126" s="96">
        <f t="shared" si="150"/>
        <v>100</v>
      </c>
      <c r="M126" s="96">
        <f t="shared" si="150"/>
        <v>100</v>
      </c>
      <c r="N126" s="97">
        <f t="shared" si="150"/>
        <v>100</v>
      </c>
      <c r="O126" s="73"/>
      <c r="P126" s="110"/>
      <c r="Q126" s="99">
        <f>G126+Q127</f>
        <v>110</v>
      </c>
      <c r="R126" s="100">
        <f t="shared" ref="R126:U126" si="151">Q126+R127</f>
        <v>120</v>
      </c>
      <c r="S126" s="100">
        <f t="shared" si="151"/>
        <v>130</v>
      </c>
      <c r="T126" s="100">
        <f t="shared" si="151"/>
        <v>140</v>
      </c>
      <c r="U126" s="100">
        <f t="shared" si="151"/>
        <v>150</v>
      </c>
      <c r="V126" s="74" t="s">
        <v>101</v>
      </c>
      <c r="W126" s="74"/>
    </row>
    <row r="127">
      <c r="A127" s="14"/>
      <c r="B127" s="101" t="s">
        <v>50</v>
      </c>
      <c r="C127" s="102"/>
      <c r="D127" s="103">
        <v>0.0</v>
      </c>
      <c r="E127" s="103">
        <v>0.0</v>
      </c>
      <c r="F127" s="103">
        <v>0.0</v>
      </c>
      <c r="G127" s="117">
        <v>0.0</v>
      </c>
      <c r="H127" s="63"/>
      <c r="I127" s="104"/>
      <c r="J127" s="105">
        <v>0.0</v>
      </c>
      <c r="K127" s="111">
        <v>0.0</v>
      </c>
      <c r="L127" s="111">
        <v>0.0</v>
      </c>
      <c r="M127" s="111">
        <v>0.0</v>
      </c>
      <c r="N127" s="112">
        <v>0.0</v>
      </c>
      <c r="O127" s="67"/>
      <c r="P127" s="106"/>
      <c r="Q127" s="107">
        <v>10.0</v>
      </c>
      <c r="R127" s="107">
        <v>10.0</v>
      </c>
      <c r="S127" s="107">
        <v>10.0</v>
      </c>
      <c r="T127" s="107">
        <v>10.0</v>
      </c>
      <c r="U127" s="107">
        <v>10.0</v>
      </c>
      <c r="V127" s="14"/>
      <c r="W127" s="14"/>
    </row>
    <row r="128">
      <c r="A128" s="150" t="s">
        <v>67</v>
      </c>
      <c r="B128" s="90" t="s">
        <v>47</v>
      </c>
      <c r="C128" s="91">
        <v>0.2</v>
      </c>
      <c r="D128" s="92">
        <f t="shared" ref="D128:G128" si="152">C128+D129</f>
        <v>0.2</v>
      </c>
      <c r="E128" s="92">
        <f t="shared" si="152"/>
        <v>0.2</v>
      </c>
      <c r="F128" s="92">
        <f t="shared" si="152"/>
        <v>0.2</v>
      </c>
      <c r="G128" s="93">
        <f t="shared" si="152"/>
        <v>0.2</v>
      </c>
      <c r="H128" s="72"/>
      <c r="I128" s="109"/>
      <c r="J128" s="95">
        <f>G128+J129</f>
        <v>0.05</v>
      </c>
      <c r="K128" s="96">
        <f t="shared" ref="K128:N128" si="153">J128+K129</f>
        <v>0.07</v>
      </c>
      <c r="L128" s="96">
        <f t="shared" si="153"/>
        <v>0.09</v>
      </c>
      <c r="M128" s="96">
        <f t="shared" si="153"/>
        <v>0.11</v>
      </c>
      <c r="N128" s="97">
        <f t="shared" si="153"/>
        <v>0.25</v>
      </c>
      <c r="O128" s="73"/>
      <c r="P128" s="110"/>
      <c r="Q128" s="99">
        <f>G128+Q129</f>
        <v>0.5</v>
      </c>
      <c r="R128" s="100">
        <f t="shared" ref="R128:U128" si="154">Q128+R129</f>
        <v>0.6</v>
      </c>
      <c r="S128" s="100">
        <f t="shared" si="154"/>
        <v>0.7</v>
      </c>
      <c r="T128" s="100">
        <f t="shared" si="154"/>
        <v>0.8</v>
      </c>
      <c r="U128" s="100">
        <f t="shared" si="154"/>
        <v>0.9</v>
      </c>
      <c r="V128" s="58" t="s">
        <v>68</v>
      </c>
      <c r="W128" s="119"/>
    </row>
    <row r="129">
      <c r="A129" s="14"/>
      <c r="B129" s="101" t="s">
        <v>50</v>
      </c>
      <c r="C129" s="102"/>
      <c r="D129" s="103">
        <v>0.0</v>
      </c>
      <c r="E129" s="103">
        <v>0.0</v>
      </c>
      <c r="F129" s="103">
        <v>0.0</v>
      </c>
      <c r="G129" s="117">
        <v>0.0</v>
      </c>
      <c r="H129" s="76"/>
      <c r="I129" s="169"/>
      <c r="J129" s="105">
        <v>-0.15</v>
      </c>
      <c r="K129" s="111">
        <v>0.02</v>
      </c>
      <c r="L129" s="111">
        <v>0.02</v>
      </c>
      <c r="M129" s="111">
        <v>0.02</v>
      </c>
      <c r="N129" s="111">
        <v>0.14</v>
      </c>
      <c r="O129" s="67"/>
      <c r="P129" s="106"/>
      <c r="Q129" s="107">
        <v>0.3</v>
      </c>
      <c r="R129" s="108">
        <v>0.1</v>
      </c>
      <c r="S129" s="108">
        <v>0.1</v>
      </c>
      <c r="T129" s="108">
        <v>0.1</v>
      </c>
      <c r="U129" s="108">
        <v>0.1</v>
      </c>
      <c r="V129" s="14"/>
      <c r="W129" s="14"/>
    </row>
    <row r="130">
      <c r="A130" s="121"/>
      <c r="B130" s="121"/>
      <c r="C130" s="121"/>
      <c r="D130" s="121"/>
      <c r="E130" s="121"/>
      <c r="F130" s="121"/>
      <c r="G130" s="121"/>
      <c r="H130" s="122" t="s">
        <v>69</v>
      </c>
      <c r="I130" s="13"/>
      <c r="J130" s="123" t="s">
        <v>30</v>
      </c>
      <c r="K130" s="123">
        <v>7.0</v>
      </c>
      <c r="L130" s="123">
        <v>8.0</v>
      </c>
      <c r="M130" s="123">
        <v>9.0</v>
      </c>
      <c r="N130" s="123">
        <v>10.0</v>
      </c>
      <c r="O130" s="124" t="s">
        <v>69</v>
      </c>
      <c r="P130" s="79"/>
      <c r="Q130" s="125" t="s">
        <v>30</v>
      </c>
      <c r="R130" s="125">
        <v>7.0</v>
      </c>
      <c r="S130" s="125">
        <v>8.0</v>
      </c>
      <c r="T130" s="125">
        <v>9.0</v>
      </c>
      <c r="U130" s="125">
        <v>10.0</v>
      </c>
      <c r="V130" s="170"/>
      <c r="W130" s="80"/>
    </row>
    <row r="131">
      <c r="A131" s="121"/>
      <c r="B131" s="121"/>
      <c r="C131" s="121"/>
      <c r="D131" s="121"/>
      <c r="E131" s="121"/>
      <c r="F131" s="121"/>
      <c r="G131" s="121"/>
      <c r="H131" s="81" t="s">
        <v>102</v>
      </c>
      <c r="I131" s="127" t="s">
        <v>47</v>
      </c>
      <c r="J131" s="128">
        <v>40.0</v>
      </c>
      <c r="K131" s="96">
        <f t="shared" ref="K131:N131" si="155">J131+K132</f>
        <v>40</v>
      </c>
      <c r="L131" s="96">
        <f t="shared" si="155"/>
        <v>40</v>
      </c>
      <c r="M131" s="96">
        <f t="shared" si="155"/>
        <v>40</v>
      </c>
      <c r="N131" s="96">
        <f t="shared" si="155"/>
        <v>80</v>
      </c>
      <c r="O131" s="129" t="s">
        <v>103</v>
      </c>
      <c r="P131" s="130" t="s">
        <v>47</v>
      </c>
      <c r="Q131" s="131">
        <v>2.5</v>
      </c>
      <c r="R131" s="100">
        <f t="shared" ref="R131:U131" si="156">Q131+R132</f>
        <v>3</v>
      </c>
      <c r="S131" s="100">
        <f t="shared" si="156"/>
        <v>3.5</v>
      </c>
      <c r="T131" s="100">
        <f t="shared" si="156"/>
        <v>4</v>
      </c>
      <c r="U131" s="100">
        <f t="shared" si="156"/>
        <v>6</v>
      </c>
      <c r="V131" s="119"/>
      <c r="W131" s="58"/>
    </row>
    <row r="132">
      <c r="A132" s="121"/>
      <c r="B132" s="121"/>
      <c r="C132" s="121"/>
      <c r="D132" s="121"/>
      <c r="E132" s="121"/>
      <c r="F132" s="121"/>
      <c r="G132" s="121"/>
      <c r="H132" s="14"/>
      <c r="I132" s="132" t="s">
        <v>50</v>
      </c>
      <c r="J132" s="133"/>
      <c r="K132" s="111">
        <v>0.0</v>
      </c>
      <c r="L132" s="111">
        <v>0.0</v>
      </c>
      <c r="M132" s="111">
        <v>0.0</v>
      </c>
      <c r="N132" s="111">
        <v>40.0</v>
      </c>
      <c r="O132" s="14"/>
      <c r="P132" s="134" t="s">
        <v>50</v>
      </c>
      <c r="Q132" s="135"/>
      <c r="R132" s="108">
        <v>0.5</v>
      </c>
      <c r="S132" s="108">
        <v>0.5</v>
      </c>
      <c r="T132" s="108">
        <v>0.5</v>
      </c>
      <c r="U132" s="108">
        <v>2.0</v>
      </c>
      <c r="V132" s="14"/>
      <c r="W132" s="14"/>
    </row>
    <row r="133">
      <c r="A133" s="121"/>
      <c r="B133" s="121"/>
      <c r="C133" s="121"/>
      <c r="D133" s="121"/>
      <c r="E133" s="121"/>
      <c r="F133" s="121"/>
      <c r="G133" s="121"/>
      <c r="H133" s="171"/>
      <c r="I133" s="127" t="s">
        <v>47</v>
      </c>
      <c r="J133" s="96"/>
      <c r="K133" s="96">
        <f t="shared" ref="K133:N133" si="157">J133+K134</f>
        <v>0</v>
      </c>
      <c r="L133" s="96">
        <f t="shared" si="157"/>
        <v>0</v>
      </c>
      <c r="M133" s="96">
        <f t="shared" si="157"/>
        <v>0</v>
      </c>
      <c r="N133" s="96">
        <f t="shared" si="157"/>
        <v>0</v>
      </c>
      <c r="O133" s="137"/>
      <c r="P133" s="138"/>
      <c r="Q133" s="139"/>
      <c r="R133" s="100">
        <f t="shared" ref="R133:U133" si="158">Q133+R134</f>
        <v>0</v>
      </c>
      <c r="S133" s="100">
        <f t="shared" si="158"/>
        <v>0</v>
      </c>
      <c r="T133" s="100">
        <f t="shared" si="158"/>
        <v>0</v>
      </c>
      <c r="U133" s="100">
        <f t="shared" si="158"/>
        <v>0</v>
      </c>
      <c r="V133" s="75"/>
      <c r="W133" s="75"/>
    </row>
    <row r="134">
      <c r="A134" s="121"/>
      <c r="B134" s="121"/>
      <c r="C134" s="121"/>
      <c r="D134" s="121"/>
      <c r="E134" s="121"/>
      <c r="F134" s="121"/>
      <c r="G134" s="121"/>
      <c r="H134" s="14"/>
      <c r="I134" s="132" t="s">
        <v>50</v>
      </c>
      <c r="J134" s="133"/>
      <c r="K134" s="157"/>
      <c r="L134" s="157"/>
      <c r="M134" s="157"/>
      <c r="N134" s="157"/>
      <c r="O134" s="14"/>
      <c r="P134" s="133"/>
      <c r="Q134" s="135"/>
      <c r="R134" s="135"/>
      <c r="S134" s="135"/>
      <c r="T134" s="135"/>
      <c r="U134" s="135"/>
      <c r="V134" s="14"/>
      <c r="W134" s="14"/>
    </row>
    <row r="135">
      <c r="H135" s="121"/>
      <c r="O135" s="121"/>
    </row>
    <row r="136">
      <c r="H136" s="121"/>
      <c r="O136" s="121"/>
    </row>
    <row r="137">
      <c r="A137" s="140" t="s">
        <v>104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3"/>
    </row>
    <row r="138">
      <c r="A138" s="141" t="s">
        <v>41</v>
      </c>
      <c r="B138" s="12"/>
      <c r="C138" s="12"/>
      <c r="D138" s="12"/>
      <c r="E138" s="12"/>
      <c r="F138" s="12"/>
      <c r="G138" s="13"/>
      <c r="H138" s="142" t="s">
        <v>105</v>
      </c>
      <c r="I138" s="30"/>
      <c r="J138" s="30"/>
      <c r="K138" s="30"/>
      <c r="L138" s="30"/>
      <c r="M138" s="30"/>
      <c r="N138" s="31"/>
      <c r="O138" s="143" t="s">
        <v>106</v>
      </c>
      <c r="P138" s="30"/>
      <c r="Q138" s="30"/>
      <c r="R138" s="30"/>
      <c r="S138" s="30"/>
      <c r="T138" s="30"/>
      <c r="U138" s="31"/>
      <c r="V138" s="33"/>
      <c r="W138" s="33"/>
    </row>
    <row r="139">
      <c r="A139" s="144"/>
      <c r="B139" s="144"/>
      <c r="C139" s="145" t="s">
        <v>30</v>
      </c>
      <c r="D139" s="145">
        <v>2.0</v>
      </c>
      <c r="E139" s="145">
        <v>3.0</v>
      </c>
      <c r="F139" s="145">
        <v>4.0</v>
      </c>
      <c r="G139" s="141">
        <v>5.0</v>
      </c>
      <c r="H139" s="37"/>
      <c r="I139" s="146"/>
      <c r="J139" s="147">
        <v>6.0</v>
      </c>
      <c r="K139" s="123">
        <v>7.0</v>
      </c>
      <c r="L139" s="123">
        <v>8.0</v>
      </c>
      <c r="M139" s="123">
        <v>9.0</v>
      </c>
      <c r="N139" s="122">
        <v>10.0</v>
      </c>
      <c r="O139" s="41"/>
      <c r="P139" s="148"/>
      <c r="Q139" s="149">
        <v>6.0</v>
      </c>
      <c r="R139" s="125">
        <v>7.0</v>
      </c>
      <c r="S139" s="125">
        <v>8.0</v>
      </c>
      <c r="T139" s="125">
        <v>9.0</v>
      </c>
      <c r="U139" s="125">
        <v>10.0</v>
      </c>
      <c r="V139" s="14"/>
      <c r="W139" s="14"/>
    </row>
    <row r="140">
      <c r="A140" s="150" t="s">
        <v>46</v>
      </c>
      <c r="B140" s="90" t="s">
        <v>47</v>
      </c>
      <c r="C140" s="91">
        <v>60.0</v>
      </c>
      <c r="D140" s="92">
        <f t="shared" ref="D140:G140" si="159">C140+D141</f>
        <v>70</v>
      </c>
      <c r="E140" s="92">
        <f t="shared" si="159"/>
        <v>80</v>
      </c>
      <c r="F140" s="92">
        <f t="shared" si="159"/>
        <v>90</v>
      </c>
      <c r="G140" s="93">
        <f t="shared" si="159"/>
        <v>115</v>
      </c>
      <c r="H140" s="50"/>
      <c r="I140" s="94"/>
      <c r="J140" s="95">
        <f>G140+J141</f>
        <v>55</v>
      </c>
      <c r="K140" s="96">
        <f t="shared" ref="K140:N140" si="160">J140+K141</f>
        <v>55</v>
      </c>
      <c r="L140" s="96">
        <f t="shared" si="160"/>
        <v>55</v>
      </c>
      <c r="M140" s="96">
        <f t="shared" si="160"/>
        <v>55</v>
      </c>
      <c r="N140" s="97">
        <f t="shared" si="160"/>
        <v>65</v>
      </c>
      <c r="O140" s="54"/>
      <c r="P140" s="98"/>
      <c r="Q140" s="99">
        <f>G140+Q141</f>
        <v>215</v>
      </c>
      <c r="R140" s="100">
        <f t="shared" ref="R140:U140" si="161">Q140+R141</f>
        <v>235</v>
      </c>
      <c r="S140" s="100">
        <f t="shared" si="161"/>
        <v>255</v>
      </c>
      <c r="T140" s="100">
        <f t="shared" si="161"/>
        <v>275</v>
      </c>
      <c r="U140" s="100">
        <f t="shared" si="161"/>
        <v>295</v>
      </c>
      <c r="V140" s="58" t="s">
        <v>48</v>
      </c>
      <c r="W140" s="58" t="s">
        <v>60</v>
      </c>
    </row>
    <row r="141">
      <c r="A141" s="14"/>
      <c r="B141" s="101" t="s">
        <v>50</v>
      </c>
      <c r="C141" s="102"/>
      <c r="D141" s="103">
        <v>10.0</v>
      </c>
      <c r="E141" s="103">
        <v>10.0</v>
      </c>
      <c r="F141" s="103">
        <v>10.0</v>
      </c>
      <c r="G141" s="117">
        <v>25.0</v>
      </c>
      <c r="H141" s="63"/>
      <c r="I141" s="104"/>
      <c r="J141" s="105">
        <v>-60.0</v>
      </c>
      <c r="K141" s="111">
        <v>0.0</v>
      </c>
      <c r="L141" s="111">
        <v>0.0</v>
      </c>
      <c r="M141" s="111">
        <v>0.0</v>
      </c>
      <c r="N141" s="112">
        <v>10.0</v>
      </c>
      <c r="O141" s="67"/>
      <c r="P141" s="106"/>
      <c r="Q141" s="107">
        <v>100.0</v>
      </c>
      <c r="R141" s="108">
        <v>20.0</v>
      </c>
      <c r="S141" s="108">
        <v>20.0</v>
      </c>
      <c r="T141" s="108">
        <v>20.0</v>
      </c>
      <c r="U141" s="108">
        <v>20.0</v>
      </c>
      <c r="V141" s="14"/>
      <c r="W141" s="14"/>
    </row>
    <row r="142">
      <c r="A142" s="153" t="s">
        <v>107</v>
      </c>
      <c r="B142" s="90" t="s">
        <v>47</v>
      </c>
      <c r="C142" s="91">
        <v>2.0</v>
      </c>
      <c r="D142" s="92">
        <f t="shared" ref="D142:G142" si="162">C142+D143</f>
        <v>2.25</v>
      </c>
      <c r="E142" s="92">
        <f t="shared" si="162"/>
        <v>2.5</v>
      </c>
      <c r="F142" s="92">
        <f t="shared" si="162"/>
        <v>2.75</v>
      </c>
      <c r="G142" s="93">
        <f t="shared" si="162"/>
        <v>3</v>
      </c>
      <c r="H142" s="72"/>
      <c r="I142" s="109"/>
      <c r="J142" s="95">
        <f>G142+J143</f>
        <v>3.25</v>
      </c>
      <c r="K142" s="96">
        <f t="shared" ref="K142:N142" si="163">J142+K143</f>
        <v>3.5</v>
      </c>
      <c r="L142" s="96">
        <f t="shared" si="163"/>
        <v>3.75</v>
      </c>
      <c r="M142" s="96">
        <f t="shared" si="163"/>
        <v>4</v>
      </c>
      <c r="N142" s="97">
        <f t="shared" si="163"/>
        <v>6</v>
      </c>
      <c r="O142" s="73"/>
      <c r="P142" s="110"/>
      <c r="Q142" s="99">
        <f>G142+Q143</f>
        <v>3.125</v>
      </c>
      <c r="R142" s="100">
        <f t="shared" ref="R142:U142" si="164">Q142+R143</f>
        <v>3.25</v>
      </c>
      <c r="S142" s="100">
        <f t="shared" si="164"/>
        <v>3.375</v>
      </c>
      <c r="T142" s="100">
        <f t="shared" si="164"/>
        <v>3.5</v>
      </c>
      <c r="U142" s="100">
        <f t="shared" si="164"/>
        <v>5</v>
      </c>
      <c r="V142" s="74" t="s">
        <v>54</v>
      </c>
      <c r="W142" s="75" t="s">
        <v>108</v>
      </c>
    </row>
    <row r="143">
      <c r="A143" s="14"/>
      <c r="B143" s="101" t="s">
        <v>50</v>
      </c>
      <c r="C143" s="102"/>
      <c r="D143" s="103">
        <v>0.25</v>
      </c>
      <c r="E143" s="103">
        <v>0.25</v>
      </c>
      <c r="F143" s="103">
        <v>0.25</v>
      </c>
      <c r="G143" s="117">
        <v>0.25</v>
      </c>
      <c r="H143" s="63"/>
      <c r="I143" s="104"/>
      <c r="J143" s="105">
        <v>0.25</v>
      </c>
      <c r="K143" s="111">
        <v>0.25</v>
      </c>
      <c r="L143" s="111">
        <v>0.25</v>
      </c>
      <c r="M143" s="111">
        <v>0.25</v>
      </c>
      <c r="N143" s="112">
        <v>2.0</v>
      </c>
      <c r="O143" s="67"/>
      <c r="P143" s="106"/>
      <c r="Q143" s="107">
        <v>0.125</v>
      </c>
      <c r="R143" s="108">
        <v>0.125</v>
      </c>
      <c r="S143" s="108">
        <v>0.125</v>
      </c>
      <c r="T143" s="108">
        <v>0.125</v>
      </c>
      <c r="U143" s="108">
        <v>1.5</v>
      </c>
      <c r="V143" s="14"/>
      <c r="W143" s="14"/>
    </row>
    <row r="144">
      <c r="A144" s="152" t="s">
        <v>109</v>
      </c>
      <c r="B144" s="90" t="s">
        <v>47</v>
      </c>
      <c r="C144" s="91">
        <v>0.25</v>
      </c>
      <c r="D144" s="92">
        <f t="shared" ref="D144:G144" si="165">C144+D145</f>
        <v>0.3</v>
      </c>
      <c r="E144" s="92">
        <f t="shared" si="165"/>
        <v>0.35</v>
      </c>
      <c r="F144" s="92">
        <f t="shared" si="165"/>
        <v>0.4</v>
      </c>
      <c r="G144" s="93">
        <f t="shared" si="165"/>
        <v>0.5</v>
      </c>
      <c r="H144" s="72"/>
      <c r="I144" s="109"/>
      <c r="J144" s="95">
        <f>G144+J145</f>
        <v>0.6</v>
      </c>
      <c r="K144" s="96">
        <f t="shared" ref="K144:N144" si="166">J144+K145</f>
        <v>0.7</v>
      </c>
      <c r="L144" s="96">
        <f t="shared" si="166"/>
        <v>0.8</v>
      </c>
      <c r="M144" s="96">
        <f t="shared" si="166"/>
        <v>0.9</v>
      </c>
      <c r="N144" s="97">
        <f t="shared" si="166"/>
        <v>2</v>
      </c>
      <c r="O144" s="73"/>
      <c r="P144" s="110"/>
      <c r="Q144" s="99">
        <f>G144+Q145</f>
        <v>0.65</v>
      </c>
      <c r="R144" s="100">
        <f t="shared" ref="R144:U144" si="167">Q144+R145</f>
        <v>0.8</v>
      </c>
      <c r="S144" s="100">
        <f t="shared" si="167"/>
        <v>0.95</v>
      </c>
      <c r="T144" s="100">
        <f t="shared" si="167"/>
        <v>1.1</v>
      </c>
      <c r="U144" s="100">
        <f t="shared" si="167"/>
        <v>1.5</v>
      </c>
      <c r="V144" s="58" t="s">
        <v>81</v>
      </c>
      <c r="W144" s="58"/>
    </row>
    <row r="145">
      <c r="A145" s="14"/>
      <c r="B145" s="101" t="s">
        <v>50</v>
      </c>
      <c r="C145" s="102"/>
      <c r="D145" s="103">
        <v>0.05</v>
      </c>
      <c r="E145" s="103">
        <v>0.05</v>
      </c>
      <c r="F145" s="103">
        <v>0.05</v>
      </c>
      <c r="G145" s="117">
        <v>0.1</v>
      </c>
      <c r="H145" s="63"/>
      <c r="I145" s="104"/>
      <c r="J145" s="105">
        <v>0.1</v>
      </c>
      <c r="K145" s="111">
        <v>0.1</v>
      </c>
      <c r="L145" s="111">
        <v>0.1</v>
      </c>
      <c r="M145" s="111">
        <v>0.1</v>
      </c>
      <c r="N145" s="112">
        <v>1.1</v>
      </c>
      <c r="O145" s="67"/>
      <c r="P145" s="106"/>
      <c r="Q145" s="107">
        <v>0.15</v>
      </c>
      <c r="R145" s="107">
        <v>0.15</v>
      </c>
      <c r="S145" s="107">
        <v>0.15</v>
      </c>
      <c r="T145" s="107">
        <v>0.15</v>
      </c>
      <c r="U145" s="108">
        <v>0.4</v>
      </c>
      <c r="V145" s="14"/>
      <c r="W145" s="14"/>
    </row>
    <row r="146">
      <c r="A146" s="151" t="s">
        <v>53</v>
      </c>
      <c r="B146" s="90" t="s">
        <v>47</v>
      </c>
      <c r="C146" s="91">
        <v>3.0</v>
      </c>
      <c r="D146" s="92">
        <f t="shared" ref="D146:G146" si="168">C146+D147</f>
        <v>3.5</v>
      </c>
      <c r="E146" s="92">
        <f t="shared" si="168"/>
        <v>4</v>
      </c>
      <c r="F146" s="92">
        <f t="shared" si="168"/>
        <v>4.5</v>
      </c>
      <c r="G146" s="93">
        <f t="shared" si="168"/>
        <v>5</v>
      </c>
      <c r="H146" s="72"/>
      <c r="I146" s="109"/>
      <c r="J146" s="95">
        <f>G146+J147</f>
        <v>5.25</v>
      </c>
      <c r="K146" s="96">
        <f t="shared" ref="K146:N146" si="169">J146+K147</f>
        <v>5.5</v>
      </c>
      <c r="L146" s="96">
        <f t="shared" si="169"/>
        <v>5.75</v>
      </c>
      <c r="M146" s="96">
        <f t="shared" si="169"/>
        <v>6</v>
      </c>
      <c r="N146" s="97">
        <f t="shared" si="169"/>
        <v>10</v>
      </c>
      <c r="O146" s="73"/>
      <c r="P146" s="110"/>
      <c r="Q146" s="99">
        <f>G146+Q147</f>
        <v>5.5</v>
      </c>
      <c r="R146" s="100">
        <f t="shared" ref="R146:U146" si="170">Q146+R147</f>
        <v>6</v>
      </c>
      <c r="S146" s="100">
        <f t="shared" si="170"/>
        <v>6.5</v>
      </c>
      <c r="T146" s="100">
        <f t="shared" si="170"/>
        <v>7</v>
      </c>
      <c r="U146" s="100">
        <f t="shared" si="170"/>
        <v>10</v>
      </c>
      <c r="V146" s="74" t="s">
        <v>54</v>
      </c>
      <c r="W146" s="75"/>
    </row>
    <row r="147">
      <c r="A147" s="14"/>
      <c r="B147" s="101" t="s">
        <v>50</v>
      </c>
      <c r="C147" s="102"/>
      <c r="D147" s="103">
        <v>0.5</v>
      </c>
      <c r="E147" s="103">
        <v>0.5</v>
      </c>
      <c r="F147" s="103">
        <v>0.5</v>
      </c>
      <c r="G147" s="117">
        <v>0.5</v>
      </c>
      <c r="H147" s="63"/>
      <c r="I147" s="104"/>
      <c r="J147" s="105">
        <v>0.25</v>
      </c>
      <c r="K147" s="111">
        <v>0.25</v>
      </c>
      <c r="L147" s="111">
        <v>0.25</v>
      </c>
      <c r="M147" s="111">
        <v>0.25</v>
      </c>
      <c r="N147" s="112">
        <v>4.0</v>
      </c>
      <c r="O147" s="67"/>
      <c r="P147" s="106"/>
      <c r="Q147" s="107">
        <v>0.5</v>
      </c>
      <c r="R147" s="108">
        <v>0.5</v>
      </c>
      <c r="S147" s="108">
        <v>0.5</v>
      </c>
      <c r="T147" s="108">
        <v>0.5</v>
      </c>
      <c r="U147" s="108">
        <v>3.0</v>
      </c>
      <c r="V147" s="14"/>
      <c r="W147" s="14"/>
    </row>
    <row r="148">
      <c r="A148" s="150" t="s">
        <v>55</v>
      </c>
      <c r="B148" s="90" t="s">
        <v>47</v>
      </c>
      <c r="C148" s="91">
        <v>50.0</v>
      </c>
      <c r="D148" s="92">
        <f t="shared" ref="D148:G148" si="171">C148+D149</f>
        <v>55</v>
      </c>
      <c r="E148" s="92">
        <f t="shared" si="171"/>
        <v>60</v>
      </c>
      <c r="F148" s="92">
        <f t="shared" si="171"/>
        <v>65</v>
      </c>
      <c r="G148" s="93">
        <f t="shared" si="171"/>
        <v>75</v>
      </c>
      <c r="H148" s="72"/>
      <c r="I148" s="109"/>
      <c r="J148" s="95">
        <f>G148+J149</f>
        <v>80</v>
      </c>
      <c r="K148" s="96">
        <f t="shared" ref="K148:N148" si="172">J148+K149</f>
        <v>85</v>
      </c>
      <c r="L148" s="96">
        <f t="shared" si="172"/>
        <v>90</v>
      </c>
      <c r="M148" s="96">
        <f t="shared" si="172"/>
        <v>95</v>
      </c>
      <c r="N148" s="97">
        <f t="shared" si="172"/>
        <v>120</v>
      </c>
      <c r="O148" s="73"/>
      <c r="P148" s="110"/>
      <c r="Q148" s="99">
        <f>G148+Q149</f>
        <v>80</v>
      </c>
      <c r="R148" s="100">
        <f t="shared" ref="R148:U148" si="173">Q148+R149</f>
        <v>85</v>
      </c>
      <c r="S148" s="100">
        <f t="shared" si="173"/>
        <v>90</v>
      </c>
      <c r="T148" s="100">
        <f t="shared" si="173"/>
        <v>95</v>
      </c>
      <c r="U148" s="100">
        <f t="shared" si="173"/>
        <v>120</v>
      </c>
      <c r="V148" s="58" t="s">
        <v>56</v>
      </c>
      <c r="W148" s="58"/>
    </row>
    <row r="149">
      <c r="A149" s="14"/>
      <c r="B149" s="101" t="s">
        <v>50</v>
      </c>
      <c r="C149" s="102"/>
      <c r="D149" s="103">
        <v>5.0</v>
      </c>
      <c r="E149" s="103">
        <v>5.0</v>
      </c>
      <c r="F149" s="103">
        <v>5.0</v>
      </c>
      <c r="G149" s="117">
        <v>10.0</v>
      </c>
      <c r="H149" s="63"/>
      <c r="I149" s="104"/>
      <c r="J149" s="105">
        <v>5.0</v>
      </c>
      <c r="K149" s="111">
        <v>5.0</v>
      </c>
      <c r="L149" s="111">
        <v>5.0</v>
      </c>
      <c r="M149" s="111">
        <v>5.0</v>
      </c>
      <c r="N149" s="112">
        <v>25.0</v>
      </c>
      <c r="O149" s="67"/>
      <c r="P149" s="106"/>
      <c r="Q149" s="107">
        <v>5.0</v>
      </c>
      <c r="R149" s="108">
        <v>5.0</v>
      </c>
      <c r="S149" s="108">
        <v>5.0</v>
      </c>
      <c r="T149" s="108">
        <v>5.0</v>
      </c>
      <c r="U149" s="108">
        <v>25.0</v>
      </c>
      <c r="V149" s="14"/>
      <c r="W149" s="14"/>
    </row>
    <row r="150">
      <c r="A150" s="153" t="s">
        <v>110</v>
      </c>
      <c r="B150" s="90" t="s">
        <v>47</v>
      </c>
      <c r="C150" s="91">
        <v>10.0</v>
      </c>
      <c r="D150" s="92">
        <f t="shared" ref="D150:G150" si="174">C150+D151</f>
        <v>10.5</v>
      </c>
      <c r="E150" s="92">
        <f t="shared" si="174"/>
        <v>11</v>
      </c>
      <c r="F150" s="92">
        <f t="shared" si="174"/>
        <v>11.5</v>
      </c>
      <c r="G150" s="93">
        <f t="shared" si="174"/>
        <v>12</v>
      </c>
      <c r="H150" s="72"/>
      <c r="I150" s="109"/>
      <c r="J150" s="95">
        <f>G150+J151</f>
        <v>12.5</v>
      </c>
      <c r="K150" s="96">
        <f t="shared" ref="K150:N150" si="175">J150+K151</f>
        <v>13</v>
      </c>
      <c r="L150" s="96">
        <f t="shared" si="175"/>
        <v>13.5</v>
      </c>
      <c r="M150" s="96">
        <f t="shared" si="175"/>
        <v>14</v>
      </c>
      <c r="N150" s="97">
        <f t="shared" si="175"/>
        <v>20</v>
      </c>
      <c r="O150" s="73"/>
      <c r="P150" s="110"/>
      <c r="Q150" s="99">
        <f>G150+Q151</f>
        <v>2</v>
      </c>
      <c r="R150" s="100">
        <f t="shared" ref="R150:U150" si="176">Q150+R151</f>
        <v>2.5</v>
      </c>
      <c r="S150" s="100">
        <f t="shared" si="176"/>
        <v>3</v>
      </c>
      <c r="T150" s="100">
        <f t="shared" si="176"/>
        <v>3.5</v>
      </c>
      <c r="U150" s="100">
        <f t="shared" si="176"/>
        <v>4</v>
      </c>
      <c r="V150" s="74" t="s">
        <v>54</v>
      </c>
      <c r="W150" s="75"/>
    </row>
    <row r="151">
      <c r="A151" s="14"/>
      <c r="B151" s="101" t="s">
        <v>50</v>
      </c>
      <c r="C151" s="102"/>
      <c r="D151" s="103">
        <v>0.5</v>
      </c>
      <c r="E151" s="103">
        <v>0.5</v>
      </c>
      <c r="F151" s="103">
        <v>0.5</v>
      </c>
      <c r="G151" s="117">
        <v>0.5</v>
      </c>
      <c r="H151" s="63"/>
      <c r="I151" s="104"/>
      <c r="J151" s="105">
        <v>0.5</v>
      </c>
      <c r="K151" s="111">
        <v>0.5</v>
      </c>
      <c r="L151" s="111">
        <v>0.5</v>
      </c>
      <c r="M151" s="111">
        <v>0.5</v>
      </c>
      <c r="N151" s="112">
        <v>6.0</v>
      </c>
      <c r="O151" s="67"/>
      <c r="P151" s="106"/>
      <c r="Q151" s="107">
        <v>-10.0</v>
      </c>
      <c r="R151" s="108">
        <v>0.5</v>
      </c>
      <c r="S151" s="108">
        <v>0.5</v>
      </c>
      <c r="T151" s="108">
        <v>0.5</v>
      </c>
      <c r="U151" s="108">
        <v>0.5</v>
      </c>
      <c r="V151" s="14"/>
      <c r="W151" s="14"/>
    </row>
    <row r="152">
      <c r="A152" s="152" t="s">
        <v>57</v>
      </c>
      <c r="B152" s="90" t="s">
        <v>47</v>
      </c>
      <c r="C152" s="91">
        <v>0.5</v>
      </c>
      <c r="D152" s="92">
        <f t="shared" ref="D152:G152" si="177">C152+D153</f>
        <v>0.6</v>
      </c>
      <c r="E152" s="92">
        <f t="shared" si="177"/>
        <v>0.7</v>
      </c>
      <c r="F152" s="92">
        <f t="shared" si="177"/>
        <v>0.8</v>
      </c>
      <c r="G152" s="93">
        <f t="shared" si="177"/>
        <v>1</v>
      </c>
      <c r="H152" s="72"/>
      <c r="I152" s="109"/>
      <c r="J152" s="95">
        <f>G152+J153</f>
        <v>1.1</v>
      </c>
      <c r="K152" s="96">
        <f t="shared" ref="K152:N152" si="178">J152+K153</f>
        <v>1.2</v>
      </c>
      <c r="L152" s="96">
        <f t="shared" si="178"/>
        <v>1.3</v>
      </c>
      <c r="M152" s="96">
        <f t="shared" si="178"/>
        <v>1.4</v>
      </c>
      <c r="N152" s="97">
        <f t="shared" si="178"/>
        <v>1.7</v>
      </c>
      <c r="O152" s="73"/>
      <c r="P152" s="110"/>
      <c r="Q152" s="99">
        <f>G152+Q153</f>
        <v>2</v>
      </c>
      <c r="R152" s="100">
        <f t="shared" ref="R152:U152" si="179">Q152+R153</f>
        <v>2</v>
      </c>
      <c r="S152" s="100">
        <f t="shared" si="179"/>
        <v>2</v>
      </c>
      <c r="T152" s="100">
        <f t="shared" si="179"/>
        <v>2</v>
      </c>
      <c r="U152" s="100">
        <f t="shared" si="179"/>
        <v>2</v>
      </c>
      <c r="V152" s="58" t="s">
        <v>54</v>
      </c>
      <c r="W152" s="58"/>
    </row>
    <row r="153">
      <c r="A153" s="14"/>
      <c r="B153" s="101" t="s">
        <v>50</v>
      </c>
      <c r="C153" s="102"/>
      <c r="D153" s="103">
        <v>0.1</v>
      </c>
      <c r="E153" s="103">
        <v>0.1</v>
      </c>
      <c r="F153" s="103">
        <v>0.1</v>
      </c>
      <c r="G153" s="117">
        <v>0.2</v>
      </c>
      <c r="H153" s="63"/>
      <c r="I153" s="104"/>
      <c r="J153" s="105">
        <v>0.1</v>
      </c>
      <c r="K153" s="111">
        <v>0.1</v>
      </c>
      <c r="L153" s="111">
        <v>0.1</v>
      </c>
      <c r="M153" s="111">
        <v>0.1</v>
      </c>
      <c r="N153" s="112">
        <v>0.3</v>
      </c>
      <c r="O153" s="67"/>
      <c r="P153" s="106"/>
      <c r="Q153" s="107">
        <v>1.0</v>
      </c>
      <c r="R153" s="108">
        <v>0.0</v>
      </c>
      <c r="S153" s="108">
        <v>0.0</v>
      </c>
      <c r="T153" s="108">
        <v>0.0</v>
      </c>
      <c r="U153" s="108">
        <v>0.0</v>
      </c>
      <c r="V153" s="14"/>
      <c r="W153" s="14"/>
    </row>
    <row r="154">
      <c r="A154" s="153" t="s">
        <v>58</v>
      </c>
      <c r="B154" s="90" t="s">
        <v>47</v>
      </c>
      <c r="C154" s="91">
        <v>200.0</v>
      </c>
      <c r="D154" s="92">
        <f t="shared" ref="D154:G154" si="180">C154+D155</f>
        <v>225</v>
      </c>
      <c r="E154" s="92">
        <f t="shared" si="180"/>
        <v>250</v>
      </c>
      <c r="F154" s="92">
        <f t="shared" si="180"/>
        <v>275</v>
      </c>
      <c r="G154" s="93">
        <f t="shared" si="180"/>
        <v>325</v>
      </c>
      <c r="H154" s="50"/>
      <c r="I154" s="94"/>
      <c r="J154" s="95">
        <f>G154+J155</f>
        <v>200</v>
      </c>
      <c r="K154" s="96">
        <f t="shared" ref="K154:N154" si="181">J154+K155</f>
        <v>200</v>
      </c>
      <c r="L154" s="96">
        <f t="shared" si="181"/>
        <v>200</v>
      </c>
      <c r="M154" s="96">
        <f t="shared" si="181"/>
        <v>200</v>
      </c>
      <c r="N154" s="97">
        <f t="shared" si="181"/>
        <v>200</v>
      </c>
      <c r="O154" s="54"/>
      <c r="P154" s="98"/>
      <c r="Q154" s="99">
        <f>G154+Q155</f>
        <v>325</v>
      </c>
      <c r="R154" s="100">
        <f t="shared" ref="R154:U154" si="182">Q154+R155</f>
        <v>355</v>
      </c>
      <c r="S154" s="100">
        <f t="shared" si="182"/>
        <v>385</v>
      </c>
      <c r="T154" s="100">
        <f t="shared" si="182"/>
        <v>415</v>
      </c>
      <c r="U154" s="100">
        <f t="shared" si="182"/>
        <v>445</v>
      </c>
      <c r="V154" s="74" t="s">
        <v>59</v>
      </c>
      <c r="W154" s="74" t="s">
        <v>60</v>
      </c>
    </row>
    <row r="155">
      <c r="A155" s="14"/>
      <c r="B155" s="101" t="s">
        <v>50</v>
      </c>
      <c r="C155" s="102"/>
      <c r="D155" s="103">
        <v>25.0</v>
      </c>
      <c r="E155" s="103">
        <v>25.0</v>
      </c>
      <c r="F155" s="103">
        <v>25.0</v>
      </c>
      <c r="G155" s="117">
        <v>50.0</v>
      </c>
      <c r="H155" s="63"/>
      <c r="I155" s="104"/>
      <c r="J155" s="105">
        <v>-125.0</v>
      </c>
      <c r="K155" s="111">
        <v>0.0</v>
      </c>
      <c r="L155" s="111">
        <v>0.0</v>
      </c>
      <c r="M155" s="111">
        <v>0.0</v>
      </c>
      <c r="N155" s="112">
        <v>0.0</v>
      </c>
      <c r="O155" s="67"/>
      <c r="P155" s="106"/>
      <c r="Q155" s="107">
        <v>0.0</v>
      </c>
      <c r="R155" s="108">
        <v>30.0</v>
      </c>
      <c r="S155" s="108">
        <v>30.0</v>
      </c>
      <c r="T155" s="108">
        <v>30.0</v>
      </c>
      <c r="U155" s="108">
        <v>30.0</v>
      </c>
      <c r="V155" s="14"/>
      <c r="W155" s="14"/>
    </row>
    <row r="156">
      <c r="A156" s="150" t="s">
        <v>61</v>
      </c>
      <c r="B156" s="90" t="s">
        <v>47</v>
      </c>
      <c r="C156" s="91">
        <v>5.0</v>
      </c>
      <c r="D156" s="92">
        <f t="shared" ref="D156:G156" si="183">C156+D157</f>
        <v>5</v>
      </c>
      <c r="E156" s="92">
        <f t="shared" si="183"/>
        <v>4.5</v>
      </c>
      <c r="F156" s="92">
        <f t="shared" si="183"/>
        <v>4.5</v>
      </c>
      <c r="G156" s="93">
        <f t="shared" si="183"/>
        <v>4</v>
      </c>
      <c r="H156" s="72"/>
      <c r="I156" s="109"/>
      <c r="J156" s="95">
        <f>G156+J157</f>
        <v>4</v>
      </c>
      <c r="K156" s="96">
        <f t="shared" ref="K156:N156" si="184">J156+K157</f>
        <v>3.5</v>
      </c>
      <c r="L156" s="96">
        <f t="shared" si="184"/>
        <v>3.5</v>
      </c>
      <c r="M156" s="96">
        <f t="shared" si="184"/>
        <v>3</v>
      </c>
      <c r="N156" s="97">
        <f t="shared" si="184"/>
        <v>2</v>
      </c>
      <c r="O156" s="73"/>
      <c r="P156" s="110"/>
      <c r="Q156" s="99">
        <f>G156+Q157</f>
        <v>2</v>
      </c>
      <c r="R156" s="100">
        <f t="shared" ref="R156:U156" si="185">Q156+R157</f>
        <v>1.75</v>
      </c>
      <c r="S156" s="100">
        <f t="shared" si="185"/>
        <v>1.75</v>
      </c>
      <c r="T156" s="100">
        <f t="shared" si="185"/>
        <v>1.5</v>
      </c>
      <c r="U156" s="100">
        <f t="shared" si="185"/>
        <v>1</v>
      </c>
      <c r="V156" s="58" t="s">
        <v>62</v>
      </c>
      <c r="W156" s="119"/>
    </row>
    <row r="157">
      <c r="A157" s="14"/>
      <c r="B157" s="101" t="s">
        <v>50</v>
      </c>
      <c r="C157" s="102"/>
      <c r="D157" s="103">
        <v>0.0</v>
      </c>
      <c r="E157" s="103">
        <v>-0.5</v>
      </c>
      <c r="F157" s="103">
        <v>0.0</v>
      </c>
      <c r="G157" s="103">
        <v>-0.5</v>
      </c>
      <c r="H157" s="63"/>
      <c r="I157" s="104"/>
      <c r="J157" s="105">
        <v>0.0</v>
      </c>
      <c r="K157" s="111">
        <v>-0.5</v>
      </c>
      <c r="L157" s="111">
        <v>0.0</v>
      </c>
      <c r="M157" s="111">
        <v>-0.5</v>
      </c>
      <c r="N157" s="112">
        <v>-1.0</v>
      </c>
      <c r="O157" s="67"/>
      <c r="P157" s="106"/>
      <c r="Q157" s="107">
        <v>-2.0</v>
      </c>
      <c r="R157" s="108">
        <v>-0.25</v>
      </c>
      <c r="S157" s="108"/>
      <c r="T157" s="108">
        <v>-0.25</v>
      </c>
      <c r="U157" s="108">
        <v>-0.5</v>
      </c>
      <c r="V157" s="14"/>
      <c r="W157" s="14"/>
    </row>
    <row r="158">
      <c r="A158" s="151" t="s">
        <v>63</v>
      </c>
      <c r="B158" s="90" t="s">
        <v>47</v>
      </c>
      <c r="C158" s="91">
        <v>5.0</v>
      </c>
      <c r="D158" s="92">
        <f t="shared" ref="D158:G158" si="186">C158+D159</f>
        <v>7.5</v>
      </c>
      <c r="E158" s="92">
        <f t="shared" si="186"/>
        <v>10</v>
      </c>
      <c r="F158" s="92">
        <f t="shared" si="186"/>
        <v>12.5</v>
      </c>
      <c r="G158" s="93">
        <f t="shared" si="186"/>
        <v>15</v>
      </c>
      <c r="H158" s="72"/>
      <c r="I158" s="109"/>
      <c r="J158" s="95">
        <f>G158+J159</f>
        <v>17.5</v>
      </c>
      <c r="K158" s="96">
        <f t="shared" ref="K158:N158" si="187">J158+K159</f>
        <v>20</v>
      </c>
      <c r="L158" s="96">
        <f t="shared" si="187"/>
        <v>22.5</v>
      </c>
      <c r="M158" s="96">
        <f t="shared" si="187"/>
        <v>25</v>
      </c>
      <c r="N158" s="97">
        <f t="shared" si="187"/>
        <v>40</v>
      </c>
      <c r="O158" s="73"/>
      <c r="P158" s="110"/>
      <c r="Q158" s="99">
        <f>G158+Q159</f>
        <v>30</v>
      </c>
      <c r="R158" s="100">
        <f t="shared" ref="R158:U158" si="188">Q158+R159</f>
        <v>35</v>
      </c>
      <c r="S158" s="100">
        <f t="shared" si="188"/>
        <v>40</v>
      </c>
      <c r="T158" s="100">
        <f t="shared" si="188"/>
        <v>45</v>
      </c>
      <c r="U158" s="100">
        <f t="shared" si="188"/>
        <v>65</v>
      </c>
      <c r="V158" s="74" t="s">
        <v>83</v>
      </c>
      <c r="W158" s="74"/>
    </row>
    <row r="159">
      <c r="A159" s="14"/>
      <c r="B159" s="101" t="s">
        <v>50</v>
      </c>
      <c r="C159" s="102"/>
      <c r="D159" s="103">
        <v>2.5</v>
      </c>
      <c r="E159" s="103">
        <v>2.5</v>
      </c>
      <c r="F159" s="103">
        <v>2.5</v>
      </c>
      <c r="G159" s="103">
        <v>2.5</v>
      </c>
      <c r="H159" s="63"/>
      <c r="I159" s="104"/>
      <c r="J159" s="105">
        <v>2.5</v>
      </c>
      <c r="K159" s="105">
        <v>2.5</v>
      </c>
      <c r="L159" s="105">
        <v>2.5</v>
      </c>
      <c r="M159" s="105">
        <v>2.5</v>
      </c>
      <c r="N159" s="112">
        <v>15.0</v>
      </c>
      <c r="O159" s="67"/>
      <c r="P159" s="106"/>
      <c r="Q159" s="107">
        <v>15.0</v>
      </c>
      <c r="R159" s="108">
        <v>5.0</v>
      </c>
      <c r="S159" s="108">
        <v>5.0</v>
      </c>
      <c r="T159" s="108">
        <v>5.0</v>
      </c>
      <c r="U159" s="108">
        <v>20.0</v>
      </c>
      <c r="V159" s="14"/>
      <c r="W159" s="14"/>
    </row>
    <row r="160">
      <c r="A160" s="150" t="s">
        <v>65</v>
      </c>
      <c r="B160" s="90" t="s">
        <v>47</v>
      </c>
      <c r="C160" s="91">
        <v>100.0</v>
      </c>
      <c r="D160" s="92">
        <f t="shared" ref="D160:G160" si="189">C160+D161</f>
        <v>100</v>
      </c>
      <c r="E160" s="92">
        <f t="shared" si="189"/>
        <v>100</v>
      </c>
      <c r="F160" s="92">
        <f t="shared" si="189"/>
        <v>100</v>
      </c>
      <c r="G160" s="93">
        <f t="shared" si="189"/>
        <v>100</v>
      </c>
      <c r="H160" s="72"/>
      <c r="I160" s="109"/>
      <c r="J160" s="95">
        <f>G160+J161</f>
        <v>100</v>
      </c>
      <c r="K160" s="96">
        <f t="shared" ref="K160:N160" si="190">J160+K161</f>
        <v>100</v>
      </c>
      <c r="L160" s="96">
        <f t="shared" si="190"/>
        <v>100</v>
      </c>
      <c r="M160" s="96">
        <f t="shared" si="190"/>
        <v>100</v>
      </c>
      <c r="N160" s="97">
        <f t="shared" si="190"/>
        <v>100</v>
      </c>
      <c r="O160" s="73"/>
      <c r="P160" s="110"/>
      <c r="Q160" s="99">
        <f>G160+Q161</f>
        <v>100</v>
      </c>
      <c r="R160" s="100">
        <f t="shared" ref="R160:U160" si="191">Q160+R161</f>
        <v>100</v>
      </c>
      <c r="S160" s="100">
        <f t="shared" si="191"/>
        <v>100</v>
      </c>
      <c r="T160" s="100">
        <f t="shared" si="191"/>
        <v>100</v>
      </c>
      <c r="U160" s="100">
        <f t="shared" si="191"/>
        <v>100</v>
      </c>
      <c r="V160" s="58" t="s">
        <v>66</v>
      </c>
      <c r="W160" s="119"/>
    </row>
    <row r="161">
      <c r="A161" s="14"/>
      <c r="B161" s="101" t="s">
        <v>50</v>
      </c>
      <c r="C161" s="102"/>
      <c r="D161" s="103">
        <v>0.0</v>
      </c>
      <c r="E161" s="103">
        <v>0.0</v>
      </c>
      <c r="F161" s="103">
        <v>0.0</v>
      </c>
      <c r="G161" s="117">
        <v>0.0</v>
      </c>
      <c r="H161" s="63"/>
      <c r="I161" s="104"/>
      <c r="J161" s="105">
        <v>0.0</v>
      </c>
      <c r="K161" s="111">
        <v>0.0</v>
      </c>
      <c r="L161" s="111">
        <v>0.0</v>
      </c>
      <c r="M161" s="111">
        <v>0.0</v>
      </c>
      <c r="N161" s="112">
        <v>0.0</v>
      </c>
      <c r="O161" s="67"/>
      <c r="P161" s="106"/>
      <c r="Q161" s="107">
        <v>0.0</v>
      </c>
      <c r="R161" s="108">
        <v>0.0</v>
      </c>
      <c r="S161" s="108">
        <v>0.0</v>
      </c>
      <c r="T161" s="108">
        <v>0.0</v>
      </c>
      <c r="U161" s="108">
        <v>0.0</v>
      </c>
      <c r="V161" s="14"/>
      <c r="W161" s="14"/>
    </row>
    <row r="162">
      <c r="A162" s="151" t="s">
        <v>67</v>
      </c>
      <c r="B162" s="90" t="s">
        <v>47</v>
      </c>
      <c r="C162" s="91">
        <v>0.3</v>
      </c>
      <c r="D162" s="92">
        <f t="shared" ref="D162:G162" si="192">C162+D163</f>
        <v>0.3</v>
      </c>
      <c r="E162" s="92">
        <f t="shared" si="192"/>
        <v>0.3</v>
      </c>
      <c r="F162" s="92">
        <f t="shared" si="192"/>
        <v>0.3</v>
      </c>
      <c r="G162" s="93">
        <f t="shared" si="192"/>
        <v>0.3</v>
      </c>
      <c r="H162" s="72"/>
      <c r="I162" s="109"/>
      <c r="J162" s="95">
        <f>G162+J163</f>
        <v>0.15</v>
      </c>
      <c r="K162" s="96">
        <f t="shared" ref="K162:N162" si="193">J162+K163</f>
        <v>0.15</v>
      </c>
      <c r="L162" s="96">
        <f t="shared" si="193"/>
        <v>0.15</v>
      </c>
      <c r="M162" s="96">
        <f t="shared" si="193"/>
        <v>0.15</v>
      </c>
      <c r="N162" s="97">
        <f t="shared" si="193"/>
        <v>0.15</v>
      </c>
      <c r="O162" s="73"/>
      <c r="P162" s="110"/>
      <c r="Q162" s="99">
        <f>G162+Q163</f>
        <v>0</v>
      </c>
      <c r="R162" s="100">
        <f t="shared" ref="R162:U162" si="194">Q162+R163</f>
        <v>0</v>
      </c>
      <c r="S162" s="100">
        <f t="shared" si="194"/>
        <v>0</v>
      </c>
      <c r="T162" s="100">
        <f t="shared" si="194"/>
        <v>0</v>
      </c>
      <c r="U162" s="100">
        <f t="shared" si="194"/>
        <v>0</v>
      </c>
      <c r="V162" s="74" t="s">
        <v>68</v>
      </c>
      <c r="W162" s="74" t="s">
        <v>111</v>
      </c>
    </row>
    <row r="163">
      <c r="A163" s="14"/>
      <c r="B163" s="101" t="s">
        <v>50</v>
      </c>
      <c r="C163" s="102"/>
      <c r="D163" s="103">
        <v>0.0</v>
      </c>
      <c r="E163" s="103">
        <v>0.0</v>
      </c>
      <c r="F163" s="103">
        <v>0.0</v>
      </c>
      <c r="G163" s="117">
        <v>0.0</v>
      </c>
      <c r="H163" s="76"/>
      <c r="I163" s="120"/>
      <c r="J163" s="105">
        <v>-0.15</v>
      </c>
      <c r="K163" s="111">
        <v>0.0</v>
      </c>
      <c r="L163" s="111">
        <v>0.0</v>
      </c>
      <c r="M163" s="111">
        <v>0.0</v>
      </c>
      <c r="N163" s="112">
        <v>0.0</v>
      </c>
      <c r="O163" s="67"/>
      <c r="P163" s="106"/>
      <c r="Q163" s="107">
        <v>-0.3</v>
      </c>
      <c r="R163" s="172" t="s">
        <v>112</v>
      </c>
      <c r="S163" s="108">
        <v>0.0</v>
      </c>
      <c r="T163" s="108">
        <v>0.0</v>
      </c>
      <c r="U163" s="108">
        <v>0.0</v>
      </c>
      <c r="V163" s="14"/>
      <c r="W163" s="14"/>
    </row>
    <row r="164">
      <c r="A164" s="121"/>
      <c r="B164" s="121"/>
      <c r="C164" s="121"/>
      <c r="D164" s="121"/>
      <c r="E164" s="121"/>
      <c r="F164" s="121"/>
      <c r="G164" s="121"/>
      <c r="H164" s="122" t="s">
        <v>69</v>
      </c>
      <c r="I164" s="13"/>
      <c r="J164" s="123" t="s">
        <v>30</v>
      </c>
      <c r="K164" s="123">
        <v>7.0</v>
      </c>
      <c r="L164" s="123">
        <v>8.0</v>
      </c>
      <c r="M164" s="123">
        <v>9.0</v>
      </c>
      <c r="N164" s="123">
        <v>10.0</v>
      </c>
      <c r="O164" s="124" t="s">
        <v>69</v>
      </c>
      <c r="P164" s="79"/>
      <c r="Q164" s="125" t="s">
        <v>30</v>
      </c>
      <c r="R164" s="125">
        <v>7.0</v>
      </c>
      <c r="S164" s="125">
        <v>8.0</v>
      </c>
      <c r="T164" s="125">
        <v>9.0</v>
      </c>
      <c r="U164" s="125">
        <v>10.0</v>
      </c>
      <c r="V164" s="170"/>
      <c r="W164" s="80"/>
    </row>
    <row r="165">
      <c r="A165" s="121"/>
      <c r="B165" s="121"/>
      <c r="C165" s="121"/>
      <c r="D165" s="121"/>
      <c r="E165" s="121"/>
      <c r="F165" s="121"/>
      <c r="G165" s="121"/>
      <c r="H165" s="126" t="s">
        <v>113</v>
      </c>
      <c r="I165" s="127" t="s">
        <v>47</v>
      </c>
      <c r="J165" s="128">
        <v>1.0</v>
      </c>
      <c r="K165" s="96">
        <f t="shared" ref="K165:N165" si="195">J165+K166</f>
        <v>2</v>
      </c>
      <c r="L165" s="96">
        <f t="shared" si="195"/>
        <v>3</v>
      </c>
      <c r="M165" s="96">
        <f t="shared" si="195"/>
        <v>4</v>
      </c>
      <c r="N165" s="96">
        <f t="shared" si="195"/>
        <v>8</v>
      </c>
      <c r="O165" s="173"/>
      <c r="P165" s="130" t="s">
        <v>47</v>
      </c>
      <c r="Q165" s="100"/>
      <c r="R165" s="100">
        <f t="shared" ref="R165:U165" si="196">Q165+R166</f>
        <v>0</v>
      </c>
      <c r="S165" s="100">
        <f t="shared" si="196"/>
        <v>0</v>
      </c>
      <c r="T165" s="100">
        <f t="shared" si="196"/>
        <v>0</v>
      </c>
      <c r="U165" s="100">
        <f t="shared" si="196"/>
        <v>0</v>
      </c>
      <c r="V165" s="119"/>
      <c r="W165" s="58"/>
    </row>
    <row r="166">
      <c r="A166" s="121"/>
      <c r="B166" s="121"/>
      <c r="C166" s="121"/>
      <c r="D166" s="121"/>
      <c r="E166" s="121"/>
      <c r="F166" s="121"/>
      <c r="G166" s="121"/>
      <c r="H166" s="14"/>
      <c r="I166" s="132" t="s">
        <v>50</v>
      </c>
      <c r="J166" s="133"/>
      <c r="K166" s="111">
        <v>1.0</v>
      </c>
      <c r="L166" s="111">
        <v>1.0</v>
      </c>
      <c r="M166" s="111">
        <v>1.0</v>
      </c>
      <c r="N166" s="111">
        <v>4.0</v>
      </c>
      <c r="O166" s="14"/>
      <c r="P166" s="134" t="s">
        <v>50</v>
      </c>
      <c r="Q166" s="135"/>
      <c r="R166" s="114"/>
      <c r="S166" s="114"/>
      <c r="T166" s="114"/>
      <c r="U166" s="114"/>
      <c r="V166" s="14"/>
      <c r="W166" s="14"/>
    </row>
    <row r="167">
      <c r="A167" s="121"/>
      <c r="B167" s="121"/>
      <c r="C167" s="121"/>
      <c r="D167" s="121"/>
      <c r="E167" s="121"/>
      <c r="F167" s="121"/>
      <c r="G167" s="121"/>
      <c r="H167" s="171"/>
      <c r="I167" s="127" t="s">
        <v>47</v>
      </c>
      <c r="J167" s="96"/>
      <c r="K167" s="96">
        <f t="shared" ref="K167:N167" si="197">J167+K168</f>
        <v>0</v>
      </c>
      <c r="L167" s="96">
        <f t="shared" si="197"/>
        <v>0</v>
      </c>
      <c r="M167" s="96">
        <f t="shared" si="197"/>
        <v>0</v>
      </c>
      <c r="N167" s="96">
        <f t="shared" si="197"/>
        <v>0</v>
      </c>
      <c r="O167" s="137"/>
      <c r="P167" s="138"/>
      <c r="Q167" s="139"/>
      <c r="R167" s="100">
        <f t="shared" ref="R167:U167" si="198">Q167+R168</f>
        <v>0</v>
      </c>
      <c r="S167" s="100">
        <f t="shared" si="198"/>
        <v>0</v>
      </c>
      <c r="T167" s="100">
        <f t="shared" si="198"/>
        <v>0</v>
      </c>
      <c r="U167" s="100">
        <f t="shared" si="198"/>
        <v>0</v>
      </c>
      <c r="V167" s="75"/>
      <c r="W167" s="75"/>
    </row>
    <row r="168">
      <c r="A168" s="121"/>
      <c r="B168" s="121"/>
      <c r="C168" s="121"/>
      <c r="D168" s="121"/>
      <c r="E168" s="121"/>
      <c r="F168" s="121"/>
      <c r="G168" s="121"/>
      <c r="H168" s="14"/>
      <c r="I168" s="132" t="s">
        <v>50</v>
      </c>
      <c r="J168" s="133"/>
      <c r="K168" s="157"/>
      <c r="L168" s="157"/>
      <c r="M168" s="157"/>
      <c r="N168" s="157"/>
      <c r="O168" s="14"/>
      <c r="P168" s="133"/>
      <c r="Q168" s="135"/>
      <c r="R168" s="135"/>
      <c r="S168" s="135"/>
      <c r="T168" s="135"/>
      <c r="U168" s="135"/>
      <c r="V168" s="14"/>
      <c r="W168" s="14"/>
    </row>
    <row r="169">
      <c r="H169" s="121"/>
      <c r="O169" s="121"/>
    </row>
    <row r="170">
      <c r="H170" s="121"/>
      <c r="O170" s="121"/>
    </row>
    <row r="171">
      <c r="H171" s="121"/>
      <c r="O171" s="121"/>
    </row>
    <row r="172">
      <c r="H172" s="121"/>
      <c r="O172" s="121"/>
    </row>
    <row r="173">
      <c r="H173" s="121"/>
      <c r="O173" s="121"/>
    </row>
    <row r="174">
      <c r="H174" s="121"/>
      <c r="O174" s="121"/>
    </row>
    <row r="175">
      <c r="H175" s="121"/>
      <c r="O175" s="121"/>
    </row>
    <row r="176">
      <c r="H176" s="121"/>
      <c r="O176" s="121"/>
    </row>
    <row r="177">
      <c r="H177" s="121"/>
      <c r="O177" s="121"/>
    </row>
    <row r="178">
      <c r="H178" s="121"/>
      <c r="O178" s="121"/>
    </row>
    <row r="179">
      <c r="H179" s="121"/>
      <c r="O179" s="121"/>
    </row>
    <row r="180">
      <c r="H180" s="121"/>
      <c r="O180" s="121"/>
    </row>
    <row r="181">
      <c r="H181" s="121"/>
      <c r="O181" s="121"/>
    </row>
    <row r="182">
      <c r="H182" s="121"/>
      <c r="O182" s="121"/>
    </row>
    <row r="183">
      <c r="H183" s="121"/>
      <c r="O183" s="121"/>
    </row>
    <row r="184">
      <c r="H184" s="121"/>
      <c r="O184" s="121"/>
    </row>
    <row r="185">
      <c r="H185" s="121"/>
      <c r="O185" s="121"/>
    </row>
    <row r="186">
      <c r="H186" s="121"/>
      <c r="O186" s="121"/>
    </row>
    <row r="187">
      <c r="H187" s="121"/>
      <c r="O187" s="121"/>
    </row>
    <row r="188">
      <c r="H188" s="121"/>
      <c r="O188" s="121"/>
    </row>
    <row r="189">
      <c r="H189" s="121"/>
      <c r="O189" s="121"/>
    </row>
    <row r="190">
      <c r="H190" s="121"/>
      <c r="O190" s="121"/>
    </row>
    <row r="191">
      <c r="H191" s="121"/>
      <c r="O191" s="121"/>
    </row>
    <row r="192">
      <c r="H192" s="121"/>
      <c r="O192" s="121"/>
    </row>
    <row r="193">
      <c r="H193" s="121"/>
      <c r="O193" s="121"/>
    </row>
    <row r="194">
      <c r="H194" s="121"/>
      <c r="O194" s="121"/>
    </row>
    <row r="195">
      <c r="H195" s="121"/>
      <c r="O195" s="121"/>
    </row>
    <row r="196">
      <c r="H196" s="121"/>
      <c r="O196" s="121"/>
    </row>
    <row r="197">
      <c r="H197" s="121"/>
      <c r="O197" s="121"/>
    </row>
    <row r="198">
      <c r="H198" s="121"/>
      <c r="O198" s="121"/>
    </row>
    <row r="199">
      <c r="H199" s="121"/>
      <c r="O199" s="121"/>
    </row>
    <row r="200">
      <c r="H200" s="121"/>
      <c r="O200" s="121"/>
    </row>
    <row r="201">
      <c r="H201" s="121"/>
      <c r="O201" s="121"/>
    </row>
    <row r="202">
      <c r="H202" s="121"/>
      <c r="O202" s="121"/>
    </row>
    <row r="203">
      <c r="H203" s="121"/>
      <c r="O203" s="121"/>
    </row>
    <row r="204">
      <c r="H204" s="121"/>
      <c r="O204" s="121"/>
    </row>
    <row r="205">
      <c r="H205" s="121"/>
      <c r="O205" s="121"/>
    </row>
    <row r="206">
      <c r="H206" s="121"/>
      <c r="O206" s="121"/>
    </row>
    <row r="207">
      <c r="H207" s="121"/>
      <c r="O207" s="121"/>
    </row>
    <row r="208">
      <c r="H208" s="121"/>
      <c r="O208" s="121"/>
    </row>
    <row r="209">
      <c r="H209" s="121"/>
      <c r="O209" s="121"/>
    </row>
    <row r="210">
      <c r="H210" s="121"/>
      <c r="O210" s="121"/>
    </row>
    <row r="211">
      <c r="H211" s="121"/>
      <c r="O211" s="121"/>
    </row>
    <row r="212">
      <c r="H212" s="121"/>
      <c r="O212" s="121"/>
    </row>
    <row r="213">
      <c r="H213" s="121"/>
      <c r="O213" s="121"/>
    </row>
    <row r="214">
      <c r="H214" s="121"/>
      <c r="O214" s="121"/>
    </row>
    <row r="215">
      <c r="H215" s="121"/>
      <c r="O215" s="121"/>
    </row>
    <row r="216">
      <c r="H216" s="121"/>
      <c r="O216" s="121"/>
    </row>
    <row r="217">
      <c r="H217" s="121"/>
      <c r="O217" s="121"/>
    </row>
    <row r="218">
      <c r="H218" s="121"/>
      <c r="O218" s="121"/>
    </row>
    <row r="219">
      <c r="H219" s="121"/>
      <c r="O219" s="121"/>
    </row>
    <row r="220">
      <c r="H220" s="121"/>
      <c r="O220" s="121"/>
    </row>
    <row r="221">
      <c r="H221" s="121"/>
      <c r="O221" s="121"/>
    </row>
    <row r="222">
      <c r="H222" s="121"/>
      <c r="O222" s="121"/>
    </row>
    <row r="223">
      <c r="H223" s="121"/>
      <c r="O223" s="121"/>
    </row>
    <row r="224">
      <c r="H224" s="121"/>
      <c r="O224" s="121"/>
    </row>
    <row r="225">
      <c r="H225" s="121"/>
      <c r="O225" s="121"/>
    </row>
    <row r="226">
      <c r="H226" s="121"/>
      <c r="O226" s="121"/>
    </row>
    <row r="227">
      <c r="H227" s="121"/>
      <c r="O227" s="121"/>
    </row>
    <row r="228">
      <c r="H228" s="121"/>
      <c r="O228" s="121"/>
    </row>
    <row r="229">
      <c r="H229" s="121"/>
      <c r="O229" s="121"/>
    </row>
    <row r="230">
      <c r="H230" s="121"/>
      <c r="O230" s="121"/>
    </row>
    <row r="231">
      <c r="H231" s="121"/>
      <c r="O231" s="121"/>
    </row>
    <row r="232">
      <c r="H232" s="121"/>
      <c r="O232" s="121"/>
    </row>
    <row r="233">
      <c r="H233" s="121"/>
      <c r="O233" s="121"/>
    </row>
    <row r="234">
      <c r="H234" s="121"/>
      <c r="O234" s="121"/>
    </row>
    <row r="235">
      <c r="H235" s="121"/>
      <c r="O235" s="121"/>
    </row>
    <row r="236">
      <c r="H236" s="121"/>
      <c r="O236" s="121"/>
    </row>
    <row r="237">
      <c r="H237" s="121"/>
      <c r="O237" s="121"/>
    </row>
    <row r="238">
      <c r="H238" s="121"/>
      <c r="O238" s="121"/>
    </row>
    <row r="239">
      <c r="H239" s="121"/>
      <c r="O239" s="121"/>
    </row>
    <row r="240">
      <c r="H240" s="121"/>
      <c r="O240" s="121"/>
    </row>
    <row r="241">
      <c r="H241" s="121"/>
      <c r="O241" s="121"/>
    </row>
    <row r="242">
      <c r="H242" s="121"/>
      <c r="O242" s="121"/>
    </row>
    <row r="243">
      <c r="H243" s="121"/>
      <c r="O243" s="121"/>
    </row>
    <row r="244">
      <c r="H244" s="121"/>
      <c r="O244" s="121"/>
    </row>
    <row r="245">
      <c r="H245" s="121"/>
      <c r="O245" s="121"/>
    </row>
    <row r="246">
      <c r="H246" s="121"/>
      <c r="O246" s="121"/>
    </row>
    <row r="247">
      <c r="H247" s="121"/>
      <c r="O247" s="121"/>
    </row>
    <row r="248">
      <c r="H248" s="121"/>
      <c r="O248" s="121"/>
    </row>
    <row r="249">
      <c r="H249" s="121"/>
      <c r="O249" s="121"/>
    </row>
    <row r="250">
      <c r="H250" s="121"/>
      <c r="O250" s="121"/>
    </row>
    <row r="251">
      <c r="H251" s="121"/>
      <c r="O251" s="121"/>
    </row>
    <row r="252">
      <c r="H252" s="121"/>
      <c r="O252" s="121"/>
    </row>
    <row r="253">
      <c r="H253" s="121"/>
      <c r="O253" s="121"/>
    </row>
    <row r="254">
      <c r="H254" s="121"/>
      <c r="O254" s="121"/>
    </row>
    <row r="255">
      <c r="H255" s="121"/>
      <c r="O255" s="121"/>
    </row>
    <row r="256">
      <c r="H256" s="121"/>
      <c r="O256" s="121"/>
    </row>
    <row r="257">
      <c r="H257" s="121"/>
      <c r="O257" s="121"/>
    </row>
    <row r="258">
      <c r="H258" s="121"/>
      <c r="O258" s="121"/>
    </row>
    <row r="259">
      <c r="H259" s="121"/>
      <c r="O259" s="121"/>
    </row>
    <row r="260">
      <c r="H260" s="121"/>
      <c r="O260" s="121"/>
    </row>
    <row r="261">
      <c r="H261" s="121"/>
      <c r="O261" s="121"/>
    </row>
    <row r="262">
      <c r="H262" s="121"/>
      <c r="O262" s="121"/>
    </row>
    <row r="263">
      <c r="H263" s="121"/>
      <c r="O263" s="121"/>
    </row>
    <row r="264">
      <c r="H264" s="121"/>
      <c r="O264" s="121"/>
    </row>
    <row r="265">
      <c r="H265" s="121"/>
      <c r="O265" s="121"/>
    </row>
    <row r="266">
      <c r="H266" s="121"/>
      <c r="O266" s="121"/>
    </row>
    <row r="267">
      <c r="H267" s="121"/>
      <c r="O267" s="121"/>
    </row>
    <row r="268">
      <c r="H268" s="121"/>
      <c r="O268" s="121"/>
    </row>
    <row r="269">
      <c r="H269" s="121"/>
      <c r="O269" s="121"/>
    </row>
    <row r="270">
      <c r="H270" s="121"/>
      <c r="O270" s="121"/>
    </row>
    <row r="271">
      <c r="H271" s="121"/>
      <c r="O271" s="121"/>
    </row>
    <row r="272">
      <c r="H272" s="121"/>
      <c r="O272" s="121"/>
    </row>
    <row r="273">
      <c r="H273" s="121"/>
      <c r="O273" s="121"/>
    </row>
    <row r="274">
      <c r="H274" s="121"/>
      <c r="O274" s="121"/>
    </row>
    <row r="275">
      <c r="H275" s="121"/>
      <c r="O275" s="121"/>
    </row>
    <row r="276">
      <c r="H276" s="121"/>
      <c r="O276" s="121"/>
    </row>
    <row r="277">
      <c r="H277" s="121"/>
      <c r="O277" s="121"/>
    </row>
    <row r="278">
      <c r="H278" s="121"/>
      <c r="O278" s="121"/>
    </row>
    <row r="279">
      <c r="H279" s="121"/>
      <c r="O279" s="121"/>
    </row>
    <row r="280">
      <c r="H280" s="121"/>
      <c r="O280" s="121"/>
    </row>
    <row r="281">
      <c r="H281" s="121"/>
      <c r="O281" s="121"/>
    </row>
    <row r="282">
      <c r="H282" s="121"/>
      <c r="O282" s="121"/>
    </row>
    <row r="283">
      <c r="H283" s="121"/>
      <c r="O283" s="121"/>
    </row>
    <row r="284">
      <c r="H284" s="121"/>
      <c r="O284" s="121"/>
    </row>
    <row r="285">
      <c r="H285" s="121"/>
      <c r="O285" s="121"/>
    </row>
    <row r="286">
      <c r="H286" s="121"/>
      <c r="O286" s="121"/>
    </row>
    <row r="287">
      <c r="H287" s="121"/>
      <c r="O287" s="121"/>
    </row>
    <row r="288">
      <c r="H288" s="121"/>
      <c r="O288" s="121"/>
    </row>
    <row r="289">
      <c r="H289" s="121"/>
      <c r="O289" s="121"/>
    </row>
    <row r="290">
      <c r="H290" s="121"/>
      <c r="O290" s="121"/>
    </row>
    <row r="291">
      <c r="H291" s="121"/>
      <c r="O291" s="121"/>
    </row>
    <row r="292">
      <c r="H292" s="121"/>
      <c r="O292" s="121"/>
    </row>
    <row r="293">
      <c r="H293" s="121"/>
      <c r="O293" s="121"/>
    </row>
    <row r="294">
      <c r="H294" s="121"/>
      <c r="O294" s="121"/>
    </row>
    <row r="295">
      <c r="H295" s="121"/>
      <c r="O295" s="121"/>
    </row>
    <row r="296">
      <c r="H296" s="121"/>
      <c r="O296" s="121"/>
    </row>
    <row r="297">
      <c r="H297" s="121"/>
      <c r="O297" s="121"/>
    </row>
    <row r="298">
      <c r="H298" s="121"/>
      <c r="O298" s="121"/>
    </row>
    <row r="299">
      <c r="H299" s="121"/>
      <c r="O299" s="121"/>
    </row>
    <row r="300">
      <c r="H300" s="121"/>
      <c r="O300" s="121"/>
    </row>
    <row r="301">
      <c r="H301" s="121"/>
      <c r="O301" s="121"/>
    </row>
    <row r="302">
      <c r="H302" s="121"/>
      <c r="O302" s="121"/>
    </row>
    <row r="303">
      <c r="H303" s="121"/>
      <c r="O303" s="121"/>
    </row>
    <row r="304">
      <c r="H304" s="121"/>
      <c r="O304" s="121"/>
    </row>
    <row r="305">
      <c r="H305" s="121"/>
      <c r="O305" s="121"/>
    </row>
    <row r="306">
      <c r="H306" s="121"/>
      <c r="O306" s="121"/>
    </row>
    <row r="307">
      <c r="H307" s="121"/>
      <c r="O307" s="121"/>
    </row>
    <row r="308">
      <c r="H308" s="121"/>
      <c r="O308" s="121"/>
    </row>
    <row r="309">
      <c r="H309" s="121"/>
      <c r="O309" s="121"/>
    </row>
    <row r="310">
      <c r="H310" s="121"/>
      <c r="O310" s="121"/>
    </row>
    <row r="311">
      <c r="H311" s="121"/>
      <c r="O311" s="121"/>
    </row>
    <row r="312">
      <c r="H312" s="121"/>
      <c r="O312" s="121"/>
    </row>
    <row r="313">
      <c r="H313" s="121"/>
      <c r="O313" s="121"/>
    </row>
    <row r="314">
      <c r="H314" s="121"/>
      <c r="O314" s="121"/>
    </row>
    <row r="315">
      <c r="H315" s="121"/>
      <c r="O315" s="121"/>
    </row>
    <row r="316">
      <c r="H316" s="121"/>
      <c r="O316" s="121"/>
    </row>
    <row r="317">
      <c r="H317" s="121"/>
      <c r="O317" s="121"/>
    </row>
    <row r="318">
      <c r="H318" s="121"/>
      <c r="O318" s="121"/>
    </row>
    <row r="319">
      <c r="H319" s="121"/>
      <c r="O319" s="121"/>
    </row>
    <row r="320">
      <c r="H320" s="121"/>
      <c r="O320" s="121"/>
    </row>
    <row r="321">
      <c r="H321" s="121"/>
      <c r="O321" s="121"/>
    </row>
    <row r="322">
      <c r="H322" s="121"/>
      <c r="O322" s="121"/>
    </row>
    <row r="323">
      <c r="H323" s="121"/>
      <c r="O323" s="121"/>
    </row>
    <row r="324">
      <c r="H324" s="121"/>
      <c r="O324" s="121"/>
    </row>
    <row r="325">
      <c r="H325" s="121"/>
      <c r="O325" s="121"/>
    </row>
    <row r="326">
      <c r="H326" s="121"/>
      <c r="O326" s="121"/>
    </row>
    <row r="327">
      <c r="H327" s="121"/>
      <c r="O327" s="121"/>
    </row>
    <row r="328">
      <c r="H328" s="121"/>
      <c r="O328" s="121"/>
    </row>
    <row r="329">
      <c r="H329" s="121"/>
      <c r="O329" s="121"/>
    </row>
    <row r="330">
      <c r="H330" s="121"/>
      <c r="O330" s="121"/>
    </row>
    <row r="331">
      <c r="H331" s="121"/>
      <c r="O331" s="121"/>
    </row>
    <row r="332">
      <c r="H332" s="121"/>
      <c r="O332" s="121"/>
    </row>
    <row r="333">
      <c r="H333" s="121"/>
      <c r="O333" s="121"/>
    </row>
    <row r="334">
      <c r="H334" s="121"/>
      <c r="O334" s="121"/>
    </row>
    <row r="335">
      <c r="H335" s="121"/>
      <c r="O335" s="121"/>
    </row>
    <row r="336">
      <c r="H336" s="121"/>
      <c r="O336" s="121"/>
    </row>
    <row r="337">
      <c r="H337" s="121"/>
      <c r="O337" s="121"/>
    </row>
    <row r="338">
      <c r="H338" s="121"/>
      <c r="O338" s="121"/>
    </row>
    <row r="339">
      <c r="H339" s="121"/>
      <c r="O339" s="121"/>
    </row>
    <row r="340">
      <c r="H340" s="121"/>
      <c r="O340" s="121"/>
    </row>
    <row r="341">
      <c r="H341" s="121"/>
      <c r="O341" s="121"/>
    </row>
    <row r="342">
      <c r="H342" s="121"/>
      <c r="O342" s="121"/>
    </row>
    <row r="343">
      <c r="H343" s="121"/>
      <c r="O343" s="121"/>
    </row>
    <row r="344">
      <c r="H344" s="121"/>
      <c r="O344" s="121"/>
    </row>
    <row r="345">
      <c r="H345" s="121"/>
      <c r="O345" s="121"/>
    </row>
    <row r="346">
      <c r="H346" s="121"/>
      <c r="O346" s="121"/>
    </row>
    <row r="347">
      <c r="H347" s="121"/>
      <c r="O347" s="121"/>
    </row>
    <row r="348">
      <c r="H348" s="121"/>
      <c r="O348" s="121"/>
    </row>
    <row r="349">
      <c r="H349" s="121"/>
      <c r="O349" s="121"/>
    </row>
    <row r="350">
      <c r="H350" s="121"/>
      <c r="O350" s="121"/>
    </row>
    <row r="351">
      <c r="H351" s="121"/>
      <c r="O351" s="121"/>
    </row>
    <row r="352">
      <c r="H352" s="121"/>
      <c r="O352" s="121"/>
    </row>
    <row r="353">
      <c r="H353" s="121"/>
      <c r="O353" s="121"/>
    </row>
    <row r="354">
      <c r="H354" s="121"/>
      <c r="O354" s="121"/>
    </row>
    <row r="355">
      <c r="H355" s="121"/>
      <c r="O355" s="121"/>
    </row>
    <row r="356">
      <c r="H356" s="121"/>
      <c r="O356" s="121"/>
    </row>
    <row r="357">
      <c r="H357" s="121"/>
      <c r="O357" s="121"/>
    </row>
    <row r="358">
      <c r="H358" s="121"/>
      <c r="O358" s="121"/>
    </row>
    <row r="359">
      <c r="H359" s="121"/>
      <c r="O359" s="121"/>
    </row>
    <row r="360">
      <c r="H360" s="121"/>
      <c r="O360" s="121"/>
    </row>
    <row r="361">
      <c r="H361" s="121"/>
      <c r="O361" s="121"/>
    </row>
    <row r="362">
      <c r="H362" s="121"/>
      <c r="O362" s="121"/>
    </row>
    <row r="363">
      <c r="H363" s="121"/>
      <c r="O363" s="121"/>
    </row>
    <row r="364">
      <c r="H364" s="121"/>
      <c r="O364" s="121"/>
    </row>
    <row r="365">
      <c r="H365" s="121"/>
      <c r="O365" s="121"/>
    </row>
    <row r="366">
      <c r="H366" s="121"/>
      <c r="O366" s="121"/>
    </row>
    <row r="367">
      <c r="H367" s="121"/>
      <c r="O367" s="121"/>
    </row>
    <row r="368">
      <c r="H368" s="121"/>
      <c r="O368" s="121"/>
    </row>
    <row r="369">
      <c r="H369" s="121"/>
      <c r="O369" s="121"/>
    </row>
    <row r="370">
      <c r="H370" s="121"/>
      <c r="O370" s="121"/>
    </row>
    <row r="371">
      <c r="H371" s="121"/>
      <c r="O371" s="121"/>
    </row>
    <row r="372">
      <c r="H372" s="121"/>
      <c r="O372" s="121"/>
    </row>
    <row r="373">
      <c r="H373" s="121"/>
      <c r="O373" s="121"/>
    </row>
    <row r="374">
      <c r="H374" s="121"/>
      <c r="O374" s="121"/>
    </row>
    <row r="375">
      <c r="H375" s="121"/>
      <c r="O375" s="121"/>
    </row>
    <row r="376">
      <c r="H376" s="121"/>
      <c r="O376" s="121"/>
    </row>
    <row r="377">
      <c r="H377" s="121"/>
      <c r="O377" s="121"/>
    </row>
    <row r="378">
      <c r="H378" s="121"/>
      <c r="O378" s="121"/>
    </row>
    <row r="379">
      <c r="H379" s="121"/>
      <c r="O379" s="121"/>
    </row>
    <row r="380">
      <c r="H380" s="121"/>
      <c r="O380" s="121"/>
    </row>
    <row r="381">
      <c r="H381" s="121"/>
      <c r="O381" s="121"/>
    </row>
    <row r="382">
      <c r="H382" s="121"/>
      <c r="O382" s="121"/>
    </row>
    <row r="383">
      <c r="H383" s="121"/>
      <c r="O383" s="121"/>
    </row>
    <row r="384">
      <c r="H384" s="121"/>
      <c r="O384" s="121"/>
    </row>
    <row r="385">
      <c r="H385" s="121"/>
      <c r="O385" s="121"/>
    </row>
    <row r="386">
      <c r="H386" s="121"/>
      <c r="O386" s="121"/>
    </row>
    <row r="387">
      <c r="H387" s="121"/>
      <c r="O387" s="121"/>
    </row>
    <row r="388">
      <c r="H388" s="121"/>
      <c r="O388" s="121"/>
    </row>
    <row r="389">
      <c r="H389" s="121"/>
      <c r="O389" s="121"/>
    </row>
    <row r="390">
      <c r="H390" s="121"/>
      <c r="O390" s="121"/>
    </row>
    <row r="391">
      <c r="H391" s="121"/>
      <c r="O391" s="121"/>
    </row>
    <row r="392">
      <c r="H392" s="121"/>
      <c r="O392" s="121"/>
    </row>
    <row r="393">
      <c r="H393" s="121"/>
      <c r="O393" s="121"/>
    </row>
    <row r="394">
      <c r="H394" s="121"/>
      <c r="O394" s="121"/>
    </row>
    <row r="395">
      <c r="H395" s="121"/>
      <c r="O395" s="121"/>
    </row>
    <row r="396">
      <c r="H396" s="121"/>
      <c r="O396" s="121"/>
    </row>
    <row r="397">
      <c r="H397" s="121"/>
      <c r="O397" s="121"/>
    </row>
    <row r="398">
      <c r="H398" s="121"/>
      <c r="O398" s="121"/>
    </row>
    <row r="399">
      <c r="H399" s="121"/>
      <c r="O399" s="121"/>
    </row>
    <row r="400">
      <c r="H400" s="121"/>
      <c r="O400" s="121"/>
    </row>
    <row r="401">
      <c r="H401" s="121"/>
      <c r="O401" s="121"/>
    </row>
    <row r="402">
      <c r="H402" s="121"/>
      <c r="O402" s="121"/>
    </row>
    <row r="403">
      <c r="H403" s="121"/>
      <c r="O403" s="121"/>
    </row>
    <row r="404">
      <c r="H404" s="121"/>
      <c r="O404" s="121"/>
    </row>
    <row r="405">
      <c r="H405" s="121"/>
      <c r="O405" s="121"/>
    </row>
    <row r="406">
      <c r="H406" s="121"/>
      <c r="O406" s="121"/>
    </row>
    <row r="407">
      <c r="H407" s="121"/>
      <c r="O407" s="121"/>
    </row>
    <row r="408">
      <c r="H408" s="121"/>
      <c r="O408" s="121"/>
    </row>
    <row r="409">
      <c r="H409" s="121"/>
      <c r="O409" s="121"/>
    </row>
    <row r="410">
      <c r="H410" s="121"/>
      <c r="O410" s="121"/>
    </row>
    <row r="411">
      <c r="H411" s="121"/>
      <c r="O411" s="121"/>
    </row>
    <row r="412">
      <c r="H412" s="121"/>
      <c r="O412" s="121"/>
    </row>
    <row r="413">
      <c r="H413" s="121"/>
      <c r="O413" s="121"/>
    </row>
    <row r="414">
      <c r="H414" s="121"/>
      <c r="O414" s="121"/>
    </row>
    <row r="415">
      <c r="H415" s="121"/>
      <c r="O415" s="121"/>
    </row>
    <row r="416">
      <c r="H416" s="121"/>
      <c r="O416" s="121"/>
    </row>
    <row r="417">
      <c r="H417" s="121"/>
      <c r="O417" s="121"/>
    </row>
    <row r="418">
      <c r="H418" s="121"/>
      <c r="O418" s="121"/>
    </row>
    <row r="419">
      <c r="H419" s="121"/>
      <c r="O419" s="121"/>
    </row>
    <row r="420">
      <c r="H420" s="121"/>
      <c r="O420" s="121"/>
    </row>
    <row r="421">
      <c r="H421" s="121"/>
      <c r="O421" s="121"/>
    </row>
    <row r="422">
      <c r="H422" s="121"/>
      <c r="O422" s="121"/>
    </row>
    <row r="423">
      <c r="H423" s="121"/>
      <c r="O423" s="121"/>
    </row>
    <row r="424">
      <c r="H424" s="121"/>
      <c r="O424" s="121"/>
    </row>
    <row r="425">
      <c r="H425" s="121"/>
      <c r="O425" s="121"/>
    </row>
    <row r="426">
      <c r="H426" s="121"/>
      <c r="O426" s="121"/>
    </row>
    <row r="427">
      <c r="H427" s="121"/>
      <c r="O427" s="121"/>
    </row>
    <row r="428">
      <c r="H428" s="121"/>
      <c r="O428" s="121"/>
    </row>
    <row r="429">
      <c r="H429" s="121"/>
      <c r="O429" s="121"/>
    </row>
    <row r="430">
      <c r="H430" s="121"/>
      <c r="O430" s="121"/>
    </row>
    <row r="431">
      <c r="H431" s="121"/>
      <c r="O431" s="121"/>
    </row>
    <row r="432">
      <c r="H432" s="121"/>
      <c r="O432" s="121"/>
    </row>
    <row r="433">
      <c r="H433" s="121"/>
      <c r="O433" s="121"/>
    </row>
    <row r="434">
      <c r="H434" s="121"/>
      <c r="O434" s="121"/>
    </row>
    <row r="435">
      <c r="H435" s="121"/>
      <c r="O435" s="121"/>
    </row>
    <row r="436">
      <c r="H436" s="121"/>
      <c r="O436" s="121"/>
    </row>
    <row r="437">
      <c r="H437" s="121"/>
      <c r="O437" s="121"/>
    </row>
    <row r="438">
      <c r="H438" s="121"/>
      <c r="O438" s="121"/>
    </row>
    <row r="439">
      <c r="H439" s="121"/>
      <c r="O439" s="121"/>
    </row>
    <row r="440">
      <c r="H440" s="121"/>
      <c r="O440" s="121"/>
    </row>
    <row r="441">
      <c r="H441" s="121"/>
      <c r="O441" s="121"/>
    </row>
    <row r="442">
      <c r="H442" s="121"/>
      <c r="O442" s="121"/>
    </row>
    <row r="443">
      <c r="H443" s="121"/>
      <c r="O443" s="121"/>
    </row>
    <row r="444">
      <c r="H444" s="121"/>
      <c r="O444" s="121"/>
    </row>
    <row r="445">
      <c r="H445" s="121"/>
      <c r="O445" s="121"/>
    </row>
    <row r="446">
      <c r="H446" s="121"/>
      <c r="O446" s="121"/>
    </row>
    <row r="447">
      <c r="H447" s="121"/>
      <c r="O447" s="121"/>
    </row>
    <row r="448">
      <c r="H448" s="121"/>
      <c r="O448" s="121"/>
    </row>
    <row r="449">
      <c r="H449" s="121"/>
      <c r="O449" s="121"/>
    </row>
    <row r="450">
      <c r="H450" s="121"/>
      <c r="O450" s="121"/>
    </row>
    <row r="451">
      <c r="H451" s="121"/>
      <c r="O451" s="121"/>
    </row>
    <row r="452">
      <c r="H452" s="121"/>
      <c r="O452" s="121"/>
    </row>
    <row r="453">
      <c r="H453" s="121"/>
      <c r="O453" s="121"/>
    </row>
    <row r="454">
      <c r="H454" s="121"/>
      <c r="O454" s="121"/>
    </row>
    <row r="455">
      <c r="H455" s="121"/>
      <c r="O455" s="121"/>
    </row>
    <row r="456">
      <c r="H456" s="121"/>
      <c r="O456" s="121"/>
    </row>
    <row r="457">
      <c r="H457" s="121"/>
      <c r="O457" s="121"/>
    </row>
    <row r="458">
      <c r="H458" s="121"/>
      <c r="O458" s="121"/>
    </row>
    <row r="459">
      <c r="H459" s="121"/>
      <c r="O459" s="121"/>
    </row>
    <row r="460">
      <c r="H460" s="121"/>
      <c r="O460" s="121"/>
    </row>
    <row r="461">
      <c r="H461" s="121"/>
      <c r="O461" s="121"/>
    </row>
    <row r="462">
      <c r="H462" s="121"/>
      <c r="O462" s="121"/>
    </row>
    <row r="463">
      <c r="H463" s="121"/>
      <c r="O463" s="121"/>
    </row>
    <row r="464">
      <c r="H464" s="121"/>
      <c r="O464" s="121"/>
    </row>
    <row r="465">
      <c r="H465" s="121"/>
      <c r="O465" s="121"/>
    </row>
    <row r="466">
      <c r="H466" s="121"/>
      <c r="O466" s="121"/>
    </row>
    <row r="467">
      <c r="H467" s="121"/>
      <c r="O467" s="121"/>
    </row>
    <row r="468">
      <c r="H468" s="121"/>
      <c r="O468" s="121"/>
    </row>
    <row r="469">
      <c r="H469" s="121"/>
      <c r="O469" s="121"/>
    </row>
    <row r="470">
      <c r="H470" s="121"/>
      <c r="O470" s="121"/>
    </row>
    <row r="471">
      <c r="H471" s="121"/>
      <c r="O471" s="121"/>
    </row>
    <row r="472">
      <c r="H472" s="121"/>
      <c r="O472" s="121"/>
    </row>
    <row r="473">
      <c r="H473" s="121"/>
      <c r="O473" s="121"/>
    </row>
    <row r="474">
      <c r="H474" s="121"/>
      <c r="O474" s="121"/>
    </row>
    <row r="475">
      <c r="H475" s="121"/>
      <c r="O475" s="121"/>
    </row>
    <row r="476">
      <c r="H476" s="121"/>
      <c r="O476" s="121"/>
    </row>
    <row r="477">
      <c r="H477" s="121"/>
      <c r="O477" s="121"/>
    </row>
    <row r="478">
      <c r="H478" s="121"/>
      <c r="O478" s="121"/>
    </row>
    <row r="479">
      <c r="H479" s="121"/>
      <c r="O479" s="121"/>
    </row>
    <row r="480">
      <c r="H480" s="121"/>
      <c r="O480" s="121"/>
    </row>
    <row r="481">
      <c r="H481" s="121"/>
      <c r="O481" s="121"/>
    </row>
    <row r="482">
      <c r="H482" s="121"/>
      <c r="O482" s="121"/>
    </row>
    <row r="483">
      <c r="H483" s="121"/>
      <c r="O483" s="121"/>
    </row>
    <row r="484">
      <c r="H484" s="121"/>
      <c r="O484" s="121"/>
    </row>
    <row r="485">
      <c r="H485" s="121"/>
      <c r="O485" s="121"/>
    </row>
    <row r="486">
      <c r="H486" s="121"/>
      <c r="O486" s="121"/>
    </row>
    <row r="487">
      <c r="H487" s="121"/>
      <c r="O487" s="121"/>
    </row>
    <row r="488">
      <c r="H488" s="121"/>
      <c r="O488" s="121"/>
    </row>
    <row r="489">
      <c r="H489" s="121"/>
      <c r="O489" s="121"/>
    </row>
    <row r="490">
      <c r="H490" s="121"/>
      <c r="O490" s="121"/>
    </row>
    <row r="491">
      <c r="H491" s="121"/>
      <c r="O491" s="121"/>
    </row>
    <row r="492">
      <c r="H492" s="121"/>
      <c r="O492" s="121"/>
    </row>
    <row r="493">
      <c r="H493" s="121"/>
      <c r="O493" s="121"/>
    </row>
    <row r="494">
      <c r="H494" s="121"/>
      <c r="O494" s="121"/>
    </row>
    <row r="495">
      <c r="H495" s="121"/>
      <c r="O495" s="121"/>
    </row>
    <row r="496">
      <c r="H496" s="121"/>
      <c r="O496" s="121"/>
    </row>
    <row r="497">
      <c r="H497" s="121"/>
      <c r="O497" s="121"/>
    </row>
    <row r="498">
      <c r="H498" s="121"/>
      <c r="O498" s="121"/>
    </row>
    <row r="499">
      <c r="H499" s="121"/>
      <c r="O499" s="121"/>
    </row>
    <row r="500">
      <c r="H500" s="121"/>
      <c r="O500" s="121"/>
    </row>
    <row r="501">
      <c r="H501" s="121"/>
      <c r="O501" s="121"/>
    </row>
    <row r="502">
      <c r="H502" s="121"/>
      <c r="O502" s="121"/>
    </row>
    <row r="503">
      <c r="H503" s="121"/>
      <c r="O503" s="121"/>
    </row>
    <row r="504">
      <c r="H504" s="121"/>
      <c r="O504" s="121"/>
    </row>
    <row r="505">
      <c r="H505" s="121"/>
      <c r="O505" s="121"/>
    </row>
    <row r="506">
      <c r="H506" s="121"/>
      <c r="O506" s="121"/>
    </row>
    <row r="507">
      <c r="H507" s="121"/>
      <c r="O507" s="121"/>
    </row>
    <row r="508">
      <c r="H508" s="121"/>
      <c r="O508" s="121"/>
    </row>
    <row r="509">
      <c r="H509" s="121"/>
      <c r="O509" s="121"/>
    </row>
    <row r="510">
      <c r="H510" s="121"/>
      <c r="O510" s="121"/>
    </row>
    <row r="511">
      <c r="H511" s="121"/>
      <c r="O511" s="121"/>
    </row>
    <row r="512">
      <c r="H512" s="121"/>
      <c r="O512" s="121"/>
    </row>
    <row r="513">
      <c r="H513" s="121"/>
      <c r="O513" s="121"/>
    </row>
    <row r="514">
      <c r="H514" s="121"/>
      <c r="O514" s="121"/>
    </row>
    <row r="515">
      <c r="H515" s="121"/>
      <c r="O515" s="121"/>
    </row>
    <row r="516">
      <c r="H516" s="121"/>
      <c r="O516" s="121"/>
    </row>
    <row r="517">
      <c r="H517" s="121"/>
      <c r="O517" s="121"/>
    </row>
    <row r="518">
      <c r="H518" s="121"/>
      <c r="O518" s="121"/>
    </row>
    <row r="519">
      <c r="H519" s="121"/>
      <c r="O519" s="121"/>
    </row>
    <row r="520">
      <c r="H520" s="121"/>
      <c r="O520" s="121"/>
    </row>
    <row r="521">
      <c r="H521" s="121"/>
      <c r="O521" s="121"/>
    </row>
    <row r="522">
      <c r="H522" s="121"/>
      <c r="O522" s="121"/>
    </row>
    <row r="523">
      <c r="H523" s="121"/>
      <c r="O523" s="121"/>
    </row>
    <row r="524">
      <c r="H524" s="121"/>
      <c r="O524" s="121"/>
    </row>
    <row r="525">
      <c r="H525" s="121"/>
      <c r="O525" s="121"/>
    </row>
    <row r="526">
      <c r="H526" s="121"/>
      <c r="O526" s="121"/>
    </row>
    <row r="527">
      <c r="H527" s="121"/>
      <c r="O527" s="121"/>
    </row>
    <row r="528">
      <c r="H528" s="121"/>
      <c r="O528" s="121"/>
    </row>
    <row r="529">
      <c r="H529" s="121"/>
      <c r="O529" s="121"/>
    </row>
    <row r="530">
      <c r="H530" s="121"/>
      <c r="O530" s="121"/>
    </row>
    <row r="531">
      <c r="H531" s="121"/>
      <c r="O531" s="121"/>
    </row>
    <row r="532">
      <c r="H532" s="121"/>
      <c r="O532" s="121"/>
    </row>
    <row r="533">
      <c r="H533" s="121"/>
      <c r="O533" s="121"/>
    </row>
    <row r="534">
      <c r="H534" s="121"/>
      <c r="O534" s="121"/>
    </row>
    <row r="535">
      <c r="H535" s="121"/>
      <c r="O535" s="121"/>
    </row>
    <row r="536">
      <c r="H536" s="121"/>
      <c r="O536" s="121"/>
    </row>
    <row r="537">
      <c r="H537" s="121"/>
      <c r="O537" s="121"/>
    </row>
    <row r="538">
      <c r="H538" s="121"/>
      <c r="O538" s="121"/>
    </row>
    <row r="539">
      <c r="H539" s="121"/>
      <c r="O539" s="121"/>
    </row>
    <row r="540">
      <c r="H540" s="121"/>
      <c r="O540" s="121"/>
    </row>
    <row r="541">
      <c r="H541" s="121"/>
      <c r="O541" s="121"/>
    </row>
    <row r="542">
      <c r="H542" s="121"/>
      <c r="O542" s="121"/>
    </row>
    <row r="543">
      <c r="H543" s="121"/>
      <c r="O543" s="121"/>
    </row>
    <row r="544">
      <c r="H544" s="121"/>
      <c r="O544" s="121"/>
    </row>
    <row r="545">
      <c r="H545" s="121"/>
      <c r="O545" s="121"/>
    </row>
    <row r="546">
      <c r="H546" s="121"/>
      <c r="O546" s="121"/>
    </row>
    <row r="547">
      <c r="H547" s="121"/>
      <c r="O547" s="121"/>
    </row>
    <row r="548">
      <c r="H548" s="121"/>
      <c r="O548" s="121"/>
    </row>
    <row r="549">
      <c r="H549" s="121"/>
      <c r="O549" s="121"/>
    </row>
    <row r="550">
      <c r="H550" s="121"/>
      <c r="O550" s="121"/>
    </row>
    <row r="551">
      <c r="H551" s="121"/>
      <c r="O551" s="121"/>
    </row>
    <row r="552">
      <c r="H552" s="121"/>
      <c r="O552" s="121"/>
    </row>
    <row r="553">
      <c r="H553" s="121"/>
      <c r="O553" s="121"/>
    </row>
    <row r="554">
      <c r="H554" s="121"/>
      <c r="O554" s="121"/>
    </row>
    <row r="555">
      <c r="H555" s="121"/>
      <c r="O555" s="121"/>
    </row>
    <row r="556">
      <c r="H556" s="121"/>
      <c r="O556" s="121"/>
    </row>
    <row r="557">
      <c r="H557" s="121"/>
      <c r="O557" s="121"/>
    </row>
    <row r="558">
      <c r="H558" s="121"/>
      <c r="O558" s="121"/>
    </row>
    <row r="559">
      <c r="H559" s="121"/>
      <c r="O559" s="121"/>
    </row>
    <row r="560">
      <c r="H560" s="121"/>
      <c r="O560" s="121"/>
    </row>
    <row r="561">
      <c r="H561" s="121"/>
      <c r="O561" s="121"/>
    </row>
    <row r="562">
      <c r="H562" s="121"/>
      <c r="O562" s="121"/>
    </row>
    <row r="563">
      <c r="H563" s="121"/>
      <c r="O563" s="121"/>
    </row>
    <row r="564">
      <c r="H564" s="121"/>
      <c r="O564" s="121"/>
    </row>
    <row r="565">
      <c r="H565" s="121"/>
      <c r="O565" s="121"/>
    </row>
    <row r="566">
      <c r="H566" s="121"/>
      <c r="O566" s="121"/>
    </row>
    <row r="567">
      <c r="H567" s="121"/>
      <c r="O567" s="121"/>
    </row>
    <row r="568">
      <c r="H568" s="121"/>
      <c r="O568" s="121"/>
    </row>
    <row r="569">
      <c r="H569" s="121"/>
      <c r="O569" s="121"/>
    </row>
    <row r="570">
      <c r="H570" s="121"/>
      <c r="O570" s="121"/>
    </row>
    <row r="571">
      <c r="H571" s="121"/>
      <c r="O571" s="121"/>
    </row>
    <row r="572">
      <c r="H572" s="121"/>
      <c r="O572" s="121"/>
    </row>
    <row r="573">
      <c r="H573" s="121"/>
      <c r="O573" s="121"/>
    </row>
    <row r="574">
      <c r="H574" s="121"/>
      <c r="O574" s="121"/>
    </row>
    <row r="575">
      <c r="H575" s="121"/>
      <c r="O575" s="121"/>
    </row>
    <row r="576">
      <c r="H576" s="121"/>
      <c r="O576" s="121"/>
    </row>
    <row r="577">
      <c r="H577" s="121"/>
      <c r="O577" s="121"/>
    </row>
    <row r="578">
      <c r="H578" s="121"/>
      <c r="O578" s="121"/>
    </row>
    <row r="579">
      <c r="H579" s="121"/>
      <c r="O579" s="121"/>
    </row>
    <row r="580">
      <c r="H580" s="121"/>
      <c r="O580" s="121"/>
    </row>
    <row r="581">
      <c r="H581" s="121"/>
      <c r="O581" s="121"/>
    </row>
    <row r="582">
      <c r="H582" s="121"/>
      <c r="O582" s="121"/>
    </row>
    <row r="583">
      <c r="H583" s="121"/>
      <c r="O583" s="121"/>
    </row>
    <row r="584">
      <c r="H584" s="121"/>
      <c r="O584" s="121"/>
    </row>
    <row r="585">
      <c r="H585" s="121"/>
      <c r="O585" s="121"/>
    </row>
    <row r="586">
      <c r="H586" s="121"/>
      <c r="O586" s="121"/>
    </row>
    <row r="587">
      <c r="H587" s="121"/>
      <c r="O587" s="121"/>
    </row>
    <row r="588">
      <c r="H588" s="121"/>
      <c r="O588" s="121"/>
    </row>
    <row r="589">
      <c r="H589" s="121"/>
      <c r="O589" s="121"/>
    </row>
    <row r="590">
      <c r="H590" s="121"/>
      <c r="O590" s="121"/>
    </row>
    <row r="591">
      <c r="H591" s="121"/>
      <c r="O591" s="121"/>
    </row>
    <row r="592">
      <c r="H592" s="121"/>
      <c r="O592" s="121"/>
    </row>
    <row r="593">
      <c r="H593" s="121"/>
      <c r="O593" s="121"/>
    </row>
    <row r="594">
      <c r="H594" s="121"/>
      <c r="O594" s="121"/>
    </row>
    <row r="595">
      <c r="H595" s="121"/>
      <c r="O595" s="121"/>
    </row>
    <row r="596">
      <c r="H596" s="121"/>
      <c r="O596" s="121"/>
    </row>
    <row r="597">
      <c r="H597" s="121"/>
      <c r="O597" s="121"/>
    </row>
    <row r="598">
      <c r="H598" s="121"/>
      <c r="O598" s="121"/>
    </row>
    <row r="599">
      <c r="H599" s="121"/>
      <c r="O599" s="121"/>
    </row>
    <row r="600">
      <c r="H600" s="121"/>
      <c r="O600" s="121"/>
    </row>
    <row r="601">
      <c r="H601" s="121"/>
      <c r="O601" s="121"/>
    </row>
    <row r="602">
      <c r="H602" s="121"/>
      <c r="O602" s="121"/>
    </row>
    <row r="603">
      <c r="H603" s="121"/>
      <c r="O603" s="121"/>
    </row>
    <row r="604">
      <c r="H604" s="121"/>
      <c r="O604" s="121"/>
    </row>
    <row r="605">
      <c r="H605" s="121"/>
      <c r="O605" s="121"/>
    </row>
    <row r="606">
      <c r="H606" s="121"/>
      <c r="O606" s="121"/>
    </row>
    <row r="607">
      <c r="H607" s="121"/>
      <c r="O607" s="121"/>
    </row>
    <row r="608">
      <c r="H608" s="121"/>
      <c r="O608" s="121"/>
    </row>
    <row r="609">
      <c r="H609" s="121"/>
      <c r="O609" s="121"/>
    </row>
    <row r="610">
      <c r="H610" s="121"/>
      <c r="O610" s="121"/>
    </row>
    <row r="611">
      <c r="H611" s="121"/>
      <c r="O611" s="121"/>
    </row>
    <row r="612">
      <c r="H612" s="121"/>
      <c r="O612" s="121"/>
    </row>
    <row r="613">
      <c r="H613" s="121"/>
      <c r="O613" s="121"/>
    </row>
    <row r="614">
      <c r="H614" s="121"/>
      <c r="O614" s="121"/>
    </row>
    <row r="615">
      <c r="H615" s="121"/>
      <c r="O615" s="121"/>
    </row>
    <row r="616">
      <c r="H616" s="121"/>
      <c r="O616" s="121"/>
    </row>
    <row r="617">
      <c r="H617" s="121"/>
      <c r="O617" s="121"/>
    </row>
    <row r="618">
      <c r="H618" s="121"/>
      <c r="O618" s="121"/>
    </row>
    <row r="619">
      <c r="H619" s="121"/>
      <c r="O619" s="121"/>
    </row>
    <row r="620">
      <c r="H620" s="121"/>
      <c r="O620" s="121"/>
    </row>
    <row r="621">
      <c r="H621" s="121"/>
      <c r="O621" s="121"/>
    </row>
    <row r="622">
      <c r="H622" s="121"/>
      <c r="O622" s="121"/>
    </row>
    <row r="623">
      <c r="H623" s="121"/>
      <c r="O623" s="121"/>
    </row>
    <row r="624">
      <c r="H624" s="121"/>
      <c r="O624" s="121"/>
    </row>
    <row r="625">
      <c r="H625" s="121"/>
      <c r="O625" s="121"/>
    </row>
    <row r="626">
      <c r="H626" s="121"/>
      <c r="O626" s="121"/>
    </row>
    <row r="627">
      <c r="H627" s="121"/>
      <c r="O627" s="121"/>
    </row>
    <row r="628">
      <c r="H628" s="121"/>
      <c r="O628" s="121"/>
    </row>
    <row r="629">
      <c r="H629" s="121"/>
      <c r="O629" s="121"/>
    </row>
    <row r="630">
      <c r="H630" s="121"/>
      <c r="O630" s="121"/>
    </row>
    <row r="631">
      <c r="H631" s="121"/>
      <c r="O631" s="121"/>
    </row>
    <row r="632">
      <c r="H632" s="121"/>
      <c r="O632" s="121"/>
    </row>
    <row r="633">
      <c r="H633" s="121"/>
      <c r="O633" s="121"/>
    </row>
    <row r="634">
      <c r="H634" s="121"/>
      <c r="O634" s="121"/>
    </row>
    <row r="635">
      <c r="H635" s="121"/>
      <c r="O635" s="121"/>
    </row>
    <row r="636">
      <c r="H636" s="121"/>
      <c r="O636" s="121"/>
    </row>
    <row r="637">
      <c r="H637" s="121"/>
      <c r="O637" s="121"/>
    </row>
    <row r="638">
      <c r="H638" s="121"/>
      <c r="O638" s="121"/>
    </row>
    <row r="639">
      <c r="H639" s="121"/>
      <c r="O639" s="121"/>
    </row>
    <row r="640">
      <c r="H640" s="121"/>
      <c r="O640" s="121"/>
    </row>
    <row r="641">
      <c r="H641" s="121"/>
      <c r="O641" s="121"/>
    </row>
    <row r="642">
      <c r="H642" s="121"/>
      <c r="O642" s="121"/>
    </row>
    <row r="643">
      <c r="H643" s="121"/>
      <c r="O643" s="121"/>
    </row>
    <row r="644">
      <c r="H644" s="121"/>
      <c r="O644" s="121"/>
    </row>
    <row r="645">
      <c r="H645" s="121"/>
      <c r="O645" s="121"/>
    </row>
    <row r="646">
      <c r="H646" s="121"/>
      <c r="O646" s="121"/>
    </row>
    <row r="647">
      <c r="H647" s="121"/>
      <c r="O647" s="121"/>
    </row>
    <row r="648">
      <c r="H648" s="121"/>
      <c r="O648" s="121"/>
    </row>
    <row r="649">
      <c r="H649" s="121"/>
      <c r="O649" s="121"/>
    </row>
    <row r="650">
      <c r="H650" s="121"/>
      <c r="O650" s="121"/>
    </row>
    <row r="651">
      <c r="H651" s="121"/>
      <c r="O651" s="121"/>
    </row>
    <row r="652">
      <c r="H652" s="121"/>
      <c r="O652" s="121"/>
    </row>
    <row r="653">
      <c r="H653" s="121"/>
      <c r="O653" s="121"/>
    </row>
    <row r="654">
      <c r="H654" s="121"/>
      <c r="O654" s="121"/>
    </row>
    <row r="655">
      <c r="H655" s="121"/>
      <c r="O655" s="121"/>
    </row>
    <row r="656">
      <c r="H656" s="121"/>
      <c r="O656" s="121"/>
    </row>
    <row r="657">
      <c r="H657" s="121"/>
      <c r="O657" s="121"/>
    </row>
    <row r="658">
      <c r="H658" s="121"/>
      <c r="O658" s="121"/>
    </row>
    <row r="659">
      <c r="H659" s="121"/>
      <c r="O659" s="121"/>
    </row>
    <row r="660">
      <c r="H660" s="121"/>
      <c r="O660" s="121"/>
    </row>
    <row r="661">
      <c r="H661" s="121"/>
      <c r="O661" s="121"/>
    </row>
    <row r="662">
      <c r="H662" s="121"/>
      <c r="O662" s="121"/>
    </row>
    <row r="663">
      <c r="H663" s="121"/>
      <c r="O663" s="121"/>
    </row>
    <row r="664">
      <c r="H664" s="121"/>
      <c r="O664" s="121"/>
    </row>
    <row r="665">
      <c r="H665" s="121"/>
      <c r="O665" s="121"/>
    </row>
    <row r="666">
      <c r="H666" s="121"/>
      <c r="O666" s="121"/>
    </row>
    <row r="667">
      <c r="H667" s="121"/>
      <c r="O667" s="121"/>
    </row>
    <row r="668">
      <c r="H668" s="121"/>
      <c r="O668" s="121"/>
    </row>
    <row r="669">
      <c r="H669" s="121"/>
      <c r="O669" s="121"/>
    </row>
    <row r="670">
      <c r="H670" s="121"/>
      <c r="O670" s="121"/>
    </row>
    <row r="671">
      <c r="H671" s="121"/>
      <c r="O671" s="121"/>
    </row>
    <row r="672">
      <c r="H672" s="121"/>
      <c r="O672" s="121"/>
    </row>
    <row r="673">
      <c r="H673" s="121"/>
      <c r="O673" s="121"/>
    </row>
    <row r="674">
      <c r="H674" s="121"/>
      <c r="O674" s="121"/>
    </row>
    <row r="675">
      <c r="H675" s="121"/>
      <c r="O675" s="121"/>
    </row>
    <row r="676">
      <c r="H676" s="121"/>
      <c r="O676" s="121"/>
    </row>
    <row r="677">
      <c r="H677" s="121"/>
      <c r="O677" s="121"/>
    </row>
    <row r="678">
      <c r="H678" s="121"/>
      <c r="O678" s="121"/>
    </row>
    <row r="679">
      <c r="H679" s="121"/>
      <c r="O679" s="121"/>
    </row>
    <row r="680">
      <c r="H680" s="121"/>
      <c r="O680" s="121"/>
    </row>
    <row r="681">
      <c r="H681" s="121"/>
      <c r="O681" s="121"/>
    </row>
    <row r="682">
      <c r="H682" s="121"/>
      <c r="O682" s="121"/>
    </row>
    <row r="683">
      <c r="H683" s="121"/>
      <c r="O683" s="121"/>
    </row>
    <row r="684">
      <c r="H684" s="121"/>
      <c r="O684" s="121"/>
    </row>
    <row r="685">
      <c r="H685" s="121"/>
      <c r="O685" s="121"/>
    </row>
    <row r="686">
      <c r="H686" s="121"/>
      <c r="O686" s="121"/>
    </row>
    <row r="687">
      <c r="H687" s="121"/>
      <c r="O687" s="121"/>
    </row>
    <row r="688">
      <c r="H688" s="121"/>
      <c r="O688" s="121"/>
    </row>
    <row r="689">
      <c r="H689" s="121"/>
      <c r="O689" s="121"/>
    </row>
    <row r="690">
      <c r="H690" s="121"/>
      <c r="O690" s="121"/>
    </row>
    <row r="691">
      <c r="H691" s="121"/>
      <c r="O691" s="121"/>
    </row>
    <row r="692">
      <c r="H692" s="121"/>
      <c r="O692" s="121"/>
    </row>
    <row r="693">
      <c r="H693" s="121"/>
      <c r="O693" s="121"/>
    </row>
    <row r="694">
      <c r="H694" s="121"/>
      <c r="O694" s="121"/>
    </row>
    <row r="695">
      <c r="H695" s="121"/>
      <c r="O695" s="121"/>
    </row>
    <row r="696">
      <c r="H696" s="121"/>
      <c r="O696" s="121"/>
    </row>
    <row r="697">
      <c r="H697" s="121"/>
      <c r="O697" s="121"/>
    </row>
    <row r="698">
      <c r="H698" s="121"/>
      <c r="O698" s="121"/>
    </row>
    <row r="699">
      <c r="H699" s="121"/>
      <c r="O699" s="121"/>
    </row>
    <row r="700">
      <c r="H700" s="121"/>
      <c r="O700" s="121"/>
    </row>
    <row r="701">
      <c r="H701" s="121"/>
      <c r="O701" s="121"/>
    </row>
    <row r="702">
      <c r="H702" s="121"/>
      <c r="O702" s="121"/>
    </row>
    <row r="703">
      <c r="H703" s="121"/>
      <c r="O703" s="121"/>
    </row>
    <row r="704">
      <c r="H704" s="121"/>
      <c r="O704" s="121"/>
    </row>
    <row r="705">
      <c r="H705" s="121"/>
      <c r="O705" s="121"/>
    </row>
    <row r="706">
      <c r="H706" s="121"/>
      <c r="O706" s="121"/>
    </row>
    <row r="707">
      <c r="H707" s="121"/>
      <c r="O707" s="121"/>
    </row>
    <row r="708">
      <c r="H708" s="121"/>
      <c r="O708" s="121"/>
    </row>
    <row r="709">
      <c r="H709" s="121"/>
      <c r="O709" s="121"/>
    </row>
    <row r="710">
      <c r="H710" s="121"/>
      <c r="O710" s="121"/>
    </row>
    <row r="711">
      <c r="H711" s="121"/>
      <c r="O711" s="121"/>
    </row>
    <row r="712">
      <c r="H712" s="121"/>
      <c r="O712" s="121"/>
    </row>
    <row r="713">
      <c r="H713" s="121"/>
      <c r="O713" s="121"/>
    </row>
    <row r="714">
      <c r="H714" s="121"/>
      <c r="O714" s="121"/>
    </row>
    <row r="715">
      <c r="H715" s="121"/>
      <c r="O715" s="121"/>
    </row>
    <row r="716">
      <c r="H716" s="121"/>
      <c r="O716" s="121"/>
    </row>
    <row r="717">
      <c r="H717" s="121"/>
      <c r="O717" s="121"/>
    </row>
    <row r="718">
      <c r="H718" s="121"/>
      <c r="O718" s="121"/>
    </row>
    <row r="719">
      <c r="H719" s="121"/>
      <c r="O719" s="121"/>
    </row>
    <row r="720">
      <c r="H720" s="121"/>
      <c r="O720" s="121"/>
    </row>
    <row r="721">
      <c r="H721" s="121"/>
      <c r="O721" s="121"/>
    </row>
    <row r="722">
      <c r="H722" s="121"/>
      <c r="O722" s="121"/>
    </row>
    <row r="723">
      <c r="H723" s="121"/>
      <c r="O723" s="121"/>
    </row>
    <row r="724">
      <c r="H724" s="121"/>
      <c r="O724" s="121"/>
    </row>
    <row r="725">
      <c r="H725" s="121"/>
      <c r="O725" s="121"/>
    </row>
    <row r="726">
      <c r="H726" s="121"/>
      <c r="O726" s="121"/>
    </row>
    <row r="727">
      <c r="H727" s="121"/>
      <c r="O727" s="121"/>
    </row>
    <row r="728">
      <c r="H728" s="121"/>
      <c r="O728" s="121"/>
    </row>
    <row r="729">
      <c r="H729" s="121"/>
      <c r="O729" s="121"/>
    </row>
    <row r="730">
      <c r="H730" s="121"/>
      <c r="O730" s="121"/>
    </row>
    <row r="731">
      <c r="H731" s="121"/>
      <c r="O731" s="121"/>
    </row>
    <row r="732">
      <c r="H732" s="121"/>
      <c r="O732" s="121"/>
    </row>
    <row r="733">
      <c r="H733" s="121"/>
      <c r="O733" s="121"/>
    </row>
    <row r="734">
      <c r="H734" s="121"/>
      <c r="O734" s="121"/>
    </row>
    <row r="735">
      <c r="H735" s="121"/>
      <c r="O735" s="121"/>
    </row>
    <row r="736">
      <c r="H736" s="121"/>
      <c r="O736" s="121"/>
    </row>
    <row r="737">
      <c r="H737" s="121"/>
      <c r="O737" s="121"/>
    </row>
    <row r="738">
      <c r="H738" s="121"/>
      <c r="O738" s="121"/>
    </row>
    <row r="739">
      <c r="H739" s="121"/>
      <c r="O739" s="121"/>
    </row>
    <row r="740">
      <c r="H740" s="121"/>
      <c r="O740" s="121"/>
    </row>
    <row r="741">
      <c r="H741" s="121"/>
      <c r="O741" s="121"/>
    </row>
    <row r="742">
      <c r="H742" s="121"/>
      <c r="O742" s="121"/>
    </row>
    <row r="743">
      <c r="H743" s="121"/>
      <c r="O743" s="121"/>
    </row>
    <row r="744">
      <c r="H744" s="121"/>
      <c r="O744" s="121"/>
    </row>
    <row r="745">
      <c r="H745" s="121"/>
      <c r="O745" s="121"/>
    </row>
    <row r="746">
      <c r="H746" s="121"/>
      <c r="O746" s="121"/>
    </row>
    <row r="747">
      <c r="H747" s="121"/>
      <c r="O747" s="121"/>
    </row>
    <row r="748">
      <c r="H748" s="121"/>
      <c r="O748" s="121"/>
    </row>
    <row r="749">
      <c r="H749" s="121"/>
      <c r="O749" s="121"/>
    </row>
    <row r="750">
      <c r="H750" s="121"/>
      <c r="O750" s="121"/>
    </row>
    <row r="751">
      <c r="H751" s="121"/>
      <c r="O751" s="121"/>
    </row>
    <row r="752">
      <c r="H752" s="121"/>
      <c r="O752" s="121"/>
    </row>
    <row r="753">
      <c r="H753" s="121"/>
      <c r="O753" s="121"/>
    </row>
    <row r="754">
      <c r="H754" s="121"/>
      <c r="O754" s="121"/>
    </row>
    <row r="755">
      <c r="H755" s="121"/>
      <c r="O755" s="121"/>
    </row>
    <row r="756">
      <c r="H756" s="121"/>
      <c r="O756" s="121"/>
    </row>
    <row r="757">
      <c r="H757" s="121"/>
      <c r="O757" s="121"/>
    </row>
    <row r="758">
      <c r="H758" s="121"/>
      <c r="O758" s="121"/>
    </row>
    <row r="759">
      <c r="H759" s="121"/>
      <c r="O759" s="121"/>
    </row>
    <row r="760">
      <c r="H760" s="121"/>
      <c r="O760" s="121"/>
    </row>
    <row r="761">
      <c r="H761" s="121"/>
      <c r="O761" s="121"/>
    </row>
    <row r="762">
      <c r="H762" s="121"/>
      <c r="O762" s="121"/>
    </row>
    <row r="763">
      <c r="H763" s="121"/>
      <c r="O763" s="121"/>
    </row>
    <row r="764">
      <c r="H764" s="121"/>
      <c r="O764" s="121"/>
    </row>
    <row r="765">
      <c r="H765" s="121"/>
      <c r="O765" s="121"/>
    </row>
    <row r="766">
      <c r="H766" s="121"/>
      <c r="O766" s="121"/>
    </row>
    <row r="767">
      <c r="H767" s="121"/>
      <c r="O767" s="121"/>
    </row>
    <row r="768">
      <c r="H768" s="121"/>
      <c r="O768" s="121"/>
    </row>
    <row r="769">
      <c r="H769" s="121"/>
      <c r="O769" s="121"/>
    </row>
    <row r="770">
      <c r="H770" s="121"/>
      <c r="O770" s="121"/>
    </row>
    <row r="771">
      <c r="H771" s="121"/>
      <c r="O771" s="121"/>
    </row>
    <row r="772">
      <c r="H772" s="121"/>
      <c r="O772" s="121"/>
    </row>
    <row r="773">
      <c r="H773" s="121"/>
      <c r="O773" s="121"/>
    </row>
    <row r="774">
      <c r="H774" s="121"/>
      <c r="O774" s="121"/>
    </row>
    <row r="775">
      <c r="H775" s="121"/>
      <c r="O775" s="121"/>
    </row>
    <row r="776">
      <c r="H776" s="121"/>
      <c r="O776" s="121"/>
    </row>
    <row r="777">
      <c r="H777" s="121"/>
      <c r="O777" s="121"/>
    </row>
    <row r="778">
      <c r="H778" s="121"/>
      <c r="O778" s="121"/>
    </row>
    <row r="779">
      <c r="H779" s="121"/>
      <c r="O779" s="121"/>
    </row>
    <row r="780">
      <c r="H780" s="121"/>
      <c r="O780" s="121"/>
    </row>
    <row r="781">
      <c r="H781" s="121"/>
      <c r="O781" s="121"/>
    </row>
    <row r="782">
      <c r="H782" s="121"/>
      <c r="O782" s="121"/>
    </row>
    <row r="783">
      <c r="H783" s="121"/>
      <c r="O783" s="121"/>
    </row>
    <row r="784">
      <c r="H784" s="121"/>
      <c r="O784" s="121"/>
    </row>
    <row r="785">
      <c r="H785" s="121"/>
      <c r="O785" s="121"/>
    </row>
    <row r="786">
      <c r="H786" s="121"/>
      <c r="O786" s="121"/>
    </row>
    <row r="787">
      <c r="H787" s="121"/>
      <c r="O787" s="121"/>
    </row>
    <row r="788">
      <c r="H788" s="121"/>
      <c r="O788" s="121"/>
    </row>
    <row r="789">
      <c r="H789" s="121"/>
      <c r="O789" s="121"/>
    </row>
    <row r="790">
      <c r="H790" s="121"/>
      <c r="O790" s="121"/>
    </row>
    <row r="791">
      <c r="H791" s="121"/>
      <c r="O791" s="121"/>
    </row>
    <row r="792">
      <c r="H792" s="121"/>
      <c r="O792" s="121"/>
    </row>
    <row r="793">
      <c r="H793" s="121"/>
      <c r="O793" s="121"/>
    </row>
    <row r="794">
      <c r="H794" s="121"/>
      <c r="O794" s="121"/>
    </row>
    <row r="795">
      <c r="H795" s="121"/>
      <c r="O795" s="121"/>
    </row>
    <row r="796">
      <c r="H796" s="121"/>
      <c r="O796" s="121"/>
    </row>
    <row r="797">
      <c r="H797" s="121"/>
      <c r="O797" s="121"/>
    </row>
    <row r="798">
      <c r="H798" s="121"/>
      <c r="O798" s="121"/>
    </row>
    <row r="799">
      <c r="H799" s="121"/>
      <c r="O799" s="121"/>
    </row>
    <row r="800">
      <c r="H800" s="121"/>
      <c r="O800" s="121"/>
    </row>
    <row r="801">
      <c r="H801" s="121"/>
      <c r="O801" s="121"/>
    </row>
    <row r="802">
      <c r="H802" s="121"/>
      <c r="O802" s="121"/>
    </row>
    <row r="803">
      <c r="H803" s="121"/>
      <c r="O803" s="121"/>
    </row>
    <row r="804">
      <c r="H804" s="121"/>
      <c r="O804" s="121"/>
    </row>
    <row r="805">
      <c r="H805" s="121"/>
      <c r="O805" s="121"/>
    </row>
    <row r="806">
      <c r="H806" s="121"/>
      <c r="O806" s="121"/>
    </row>
    <row r="807">
      <c r="H807" s="121"/>
      <c r="O807" s="121"/>
    </row>
    <row r="808">
      <c r="H808" s="121"/>
      <c r="O808" s="121"/>
    </row>
    <row r="809">
      <c r="H809" s="121"/>
      <c r="O809" s="121"/>
    </row>
    <row r="810">
      <c r="H810" s="121"/>
      <c r="O810" s="121"/>
    </row>
    <row r="811">
      <c r="H811" s="121"/>
      <c r="O811" s="121"/>
    </row>
    <row r="812">
      <c r="H812" s="121"/>
      <c r="O812" s="121"/>
    </row>
    <row r="813">
      <c r="H813" s="121"/>
      <c r="O813" s="121"/>
    </row>
    <row r="814">
      <c r="H814" s="121"/>
      <c r="O814" s="121"/>
    </row>
    <row r="815">
      <c r="H815" s="121"/>
      <c r="O815" s="121"/>
    </row>
    <row r="816">
      <c r="H816" s="121"/>
      <c r="O816" s="121"/>
    </row>
    <row r="817">
      <c r="H817" s="121"/>
      <c r="O817" s="121"/>
    </row>
    <row r="818">
      <c r="H818" s="121"/>
      <c r="O818" s="121"/>
    </row>
    <row r="819">
      <c r="H819" s="121"/>
      <c r="O819" s="121"/>
    </row>
    <row r="820">
      <c r="H820" s="121"/>
      <c r="O820" s="121"/>
    </row>
    <row r="821">
      <c r="H821" s="121"/>
      <c r="O821" s="121"/>
    </row>
    <row r="822">
      <c r="H822" s="121"/>
      <c r="O822" s="121"/>
    </row>
    <row r="823">
      <c r="H823" s="121"/>
      <c r="O823" s="121"/>
    </row>
    <row r="824">
      <c r="H824" s="121"/>
      <c r="O824" s="121"/>
    </row>
    <row r="825">
      <c r="H825" s="121"/>
      <c r="O825" s="121"/>
    </row>
    <row r="826">
      <c r="H826" s="121"/>
      <c r="O826" s="121"/>
    </row>
    <row r="827">
      <c r="H827" s="121"/>
      <c r="O827" s="121"/>
    </row>
    <row r="828">
      <c r="H828" s="121"/>
      <c r="O828" s="121"/>
    </row>
    <row r="829">
      <c r="H829" s="121"/>
      <c r="O829" s="121"/>
    </row>
    <row r="830">
      <c r="H830" s="121"/>
      <c r="O830" s="121"/>
    </row>
    <row r="831">
      <c r="H831" s="121"/>
      <c r="O831" s="121"/>
    </row>
    <row r="832">
      <c r="H832" s="121"/>
      <c r="O832" s="121"/>
    </row>
    <row r="833">
      <c r="H833" s="121"/>
      <c r="O833" s="121"/>
    </row>
    <row r="834">
      <c r="H834" s="121"/>
      <c r="O834" s="121"/>
    </row>
    <row r="835">
      <c r="H835" s="121"/>
      <c r="O835" s="121"/>
    </row>
    <row r="836">
      <c r="H836" s="121"/>
      <c r="O836" s="121"/>
    </row>
    <row r="837">
      <c r="H837" s="121"/>
      <c r="O837" s="121"/>
    </row>
    <row r="838">
      <c r="H838" s="121"/>
      <c r="O838" s="121"/>
    </row>
    <row r="839">
      <c r="H839" s="121"/>
      <c r="O839" s="121"/>
    </row>
    <row r="840">
      <c r="H840" s="121"/>
      <c r="O840" s="121"/>
    </row>
    <row r="841">
      <c r="H841" s="121"/>
      <c r="O841" s="121"/>
    </row>
    <row r="842">
      <c r="H842" s="121"/>
      <c r="O842" s="121"/>
    </row>
    <row r="843">
      <c r="H843" s="121"/>
      <c r="O843" s="121"/>
    </row>
    <row r="844">
      <c r="H844" s="121"/>
      <c r="O844" s="121"/>
    </row>
    <row r="845">
      <c r="H845" s="121"/>
      <c r="O845" s="121"/>
    </row>
    <row r="846">
      <c r="H846" s="121"/>
      <c r="O846" s="121"/>
    </row>
    <row r="847">
      <c r="H847" s="121"/>
      <c r="O847" s="121"/>
    </row>
    <row r="848">
      <c r="H848" s="121"/>
      <c r="O848" s="121"/>
    </row>
    <row r="849">
      <c r="H849" s="121"/>
      <c r="O849" s="121"/>
    </row>
    <row r="850">
      <c r="H850" s="121"/>
      <c r="O850" s="121"/>
    </row>
    <row r="851">
      <c r="H851" s="121"/>
      <c r="O851" s="121"/>
    </row>
    <row r="852">
      <c r="H852" s="121"/>
      <c r="O852" s="121"/>
    </row>
    <row r="853">
      <c r="H853" s="121"/>
      <c r="O853" s="121"/>
    </row>
    <row r="854">
      <c r="H854" s="121"/>
      <c r="O854" s="121"/>
    </row>
    <row r="855">
      <c r="H855" s="121"/>
      <c r="O855" s="121"/>
    </row>
    <row r="856">
      <c r="H856" s="121"/>
      <c r="O856" s="121"/>
    </row>
    <row r="857">
      <c r="H857" s="121"/>
      <c r="O857" s="121"/>
    </row>
    <row r="858">
      <c r="H858" s="121"/>
      <c r="O858" s="121"/>
    </row>
    <row r="859">
      <c r="H859" s="121"/>
      <c r="O859" s="121"/>
    </row>
    <row r="860">
      <c r="H860" s="121"/>
      <c r="O860" s="121"/>
    </row>
    <row r="861">
      <c r="H861" s="121"/>
      <c r="O861" s="121"/>
    </row>
    <row r="862">
      <c r="H862" s="121"/>
      <c r="O862" s="121"/>
    </row>
    <row r="863">
      <c r="H863" s="121"/>
      <c r="O863" s="121"/>
    </row>
    <row r="864">
      <c r="H864" s="121"/>
      <c r="O864" s="121"/>
    </row>
    <row r="865">
      <c r="H865" s="121"/>
      <c r="O865" s="121"/>
    </row>
    <row r="866">
      <c r="H866" s="121"/>
      <c r="O866" s="121"/>
    </row>
    <row r="867">
      <c r="H867" s="121"/>
      <c r="O867" s="121"/>
    </row>
    <row r="868">
      <c r="H868" s="121"/>
      <c r="O868" s="121"/>
    </row>
    <row r="869">
      <c r="H869" s="121"/>
      <c r="O869" s="121"/>
    </row>
    <row r="870">
      <c r="H870" s="121"/>
      <c r="O870" s="121"/>
    </row>
    <row r="871">
      <c r="H871" s="121"/>
      <c r="O871" s="121"/>
    </row>
    <row r="872">
      <c r="H872" s="121"/>
      <c r="O872" s="121"/>
    </row>
    <row r="873">
      <c r="H873" s="121"/>
      <c r="O873" s="121"/>
    </row>
    <row r="874">
      <c r="H874" s="121"/>
      <c r="O874" s="121"/>
    </row>
    <row r="875">
      <c r="H875" s="121"/>
      <c r="O875" s="121"/>
    </row>
    <row r="876">
      <c r="H876" s="121"/>
      <c r="O876" s="121"/>
    </row>
    <row r="877">
      <c r="H877" s="121"/>
      <c r="O877" s="121"/>
    </row>
    <row r="878">
      <c r="H878" s="121"/>
      <c r="O878" s="121"/>
    </row>
    <row r="879">
      <c r="H879" s="121"/>
      <c r="O879" s="121"/>
    </row>
    <row r="880">
      <c r="H880" s="121"/>
      <c r="O880" s="121"/>
    </row>
    <row r="881">
      <c r="H881" s="121"/>
      <c r="O881" s="121"/>
    </row>
    <row r="882">
      <c r="H882" s="121"/>
      <c r="O882" s="121"/>
    </row>
    <row r="883">
      <c r="H883" s="121"/>
      <c r="O883" s="121"/>
    </row>
    <row r="884">
      <c r="H884" s="121"/>
      <c r="O884" s="121"/>
    </row>
    <row r="885">
      <c r="H885" s="121"/>
      <c r="O885" s="121"/>
    </row>
    <row r="886">
      <c r="H886" s="121"/>
      <c r="O886" s="121"/>
    </row>
    <row r="887">
      <c r="H887" s="121"/>
      <c r="O887" s="121"/>
    </row>
    <row r="888">
      <c r="H888" s="121"/>
      <c r="O888" s="121"/>
    </row>
    <row r="889">
      <c r="H889" s="121"/>
      <c r="O889" s="121"/>
    </row>
    <row r="890">
      <c r="H890" s="121"/>
      <c r="O890" s="121"/>
    </row>
    <row r="891">
      <c r="H891" s="121"/>
      <c r="O891" s="121"/>
    </row>
    <row r="892">
      <c r="H892" s="121"/>
      <c r="O892" s="121"/>
    </row>
    <row r="893">
      <c r="H893" s="121"/>
      <c r="O893" s="121"/>
    </row>
    <row r="894">
      <c r="H894" s="121"/>
      <c r="O894" s="121"/>
    </row>
    <row r="895">
      <c r="H895" s="121"/>
      <c r="O895" s="121"/>
    </row>
    <row r="896">
      <c r="H896" s="121"/>
      <c r="O896" s="121"/>
    </row>
    <row r="897">
      <c r="H897" s="121"/>
      <c r="O897" s="121"/>
    </row>
    <row r="898">
      <c r="H898" s="121"/>
      <c r="O898" s="121"/>
    </row>
    <row r="899">
      <c r="H899" s="121"/>
      <c r="O899" s="121"/>
    </row>
    <row r="900">
      <c r="H900" s="121"/>
      <c r="O900" s="121"/>
    </row>
    <row r="901">
      <c r="H901" s="121"/>
      <c r="O901" s="121"/>
    </row>
    <row r="902">
      <c r="H902" s="121"/>
      <c r="O902" s="121"/>
    </row>
    <row r="903">
      <c r="H903" s="121"/>
      <c r="O903" s="121"/>
    </row>
    <row r="904">
      <c r="H904" s="121"/>
      <c r="O904" s="121"/>
    </row>
    <row r="905">
      <c r="H905" s="121"/>
      <c r="O905" s="121"/>
    </row>
    <row r="906">
      <c r="H906" s="121"/>
      <c r="O906" s="121"/>
    </row>
    <row r="907">
      <c r="H907" s="121"/>
      <c r="O907" s="121"/>
    </row>
    <row r="908">
      <c r="H908" s="121"/>
      <c r="O908" s="121"/>
    </row>
    <row r="909">
      <c r="H909" s="121"/>
      <c r="O909" s="121"/>
    </row>
    <row r="910">
      <c r="H910" s="121"/>
      <c r="O910" s="121"/>
    </row>
    <row r="911">
      <c r="H911" s="121"/>
      <c r="O911" s="121"/>
    </row>
    <row r="912">
      <c r="H912" s="121"/>
      <c r="O912" s="121"/>
    </row>
    <row r="913">
      <c r="H913" s="121"/>
      <c r="O913" s="121"/>
    </row>
    <row r="914">
      <c r="H914" s="121"/>
      <c r="O914" s="121"/>
    </row>
    <row r="915">
      <c r="H915" s="121"/>
      <c r="O915" s="121"/>
    </row>
    <row r="916">
      <c r="H916" s="121"/>
      <c r="O916" s="121"/>
    </row>
    <row r="917">
      <c r="H917" s="121"/>
      <c r="O917" s="121"/>
    </row>
    <row r="918">
      <c r="H918" s="121"/>
      <c r="O918" s="121"/>
    </row>
    <row r="919">
      <c r="H919" s="121"/>
      <c r="O919" s="121"/>
    </row>
    <row r="920">
      <c r="H920" s="121"/>
      <c r="O920" s="121"/>
    </row>
    <row r="921">
      <c r="H921" s="121"/>
      <c r="O921" s="121"/>
    </row>
    <row r="922">
      <c r="H922" s="121"/>
      <c r="O922" s="121"/>
    </row>
    <row r="923">
      <c r="H923" s="121"/>
      <c r="O923" s="121"/>
    </row>
    <row r="924">
      <c r="H924" s="121"/>
      <c r="O924" s="121"/>
    </row>
    <row r="925">
      <c r="H925" s="121"/>
      <c r="O925" s="121"/>
    </row>
    <row r="926">
      <c r="H926" s="121"/>
      <c r="O926" s="121"/>
    </row>
    <row r="927">
      <c r="H927" s="121"/>
      <c r="O927" s="121"/>
    </row>
    <row r="928">
      <c r="H928" s="121"/>
      <c r="O928" s="121"/>
    </row>
    <row r="929">
      <c r="H929" s="121"/>
      <c r="O929" s="121"/>
    </row>
    <row r="930">
      <c r="H930" s="121"/>
      <c r="O930" s="121"/>
    </row>
    <row r="931">
      <c r="H931" s="121"/>
      <c r="O931" s="121"/>
    </row>
    <row r="932">
      <c r="H932" s="121"/>
      <c r="O932" s="121"/>
    </row>
    <row r="933">
      <c r="H933" s="121"/>
      <c r="O933" s="121"/>
    </row>
    <row r="934">
      <c r="H934" s="121"/>
      <c r="O934" s="121"/>
    </row>
    <row r="935">
      <c r="H935" s="121"/>
      <c r="O935" s="121"/>
    </row>
    <row r="936">
      <c r="H936" s="121"/>
      <c r="O936" s="121"/>
    </row>
    <row r="937">
      <c r="H937" s="121"/>
      <c r="O937" s="121"/>
    </row>
    <row r="938">
      <c r="H938" s="121"/>
      <c r="O938" s="121"/>
    </row>
    <row r="939">
      <c r="H939" s="121"/>
      <c r="O939" s="121"/>
    </row>
    <row r="940">
      <c r="H940" s="121"/>
      <c r="O940" s="121"/>
    </row>
    <row r="941">
      <c r="H941" s="121"/>
      <c r="O941" s="121"/>
    </row>
    <row r="942">
      <c r="H942" s="121"/>
      <c r="O942" s="121"/>
    </row>
    <row r="943">
      <c r="H943" s="121"/>
      <c r="O943" s="121"/>
    </row>
    <row r="944">
      <c r="H944" s="121"/>
      <c r="O944" s="121"/>
    </row>
    <row r="945">
      <c r="H945" s="121"/>
      <c r="O945" s="121"/>
    </row>
    <row r="946">
      <c r="H946" s="121"/>
      <c r="O946" s="121"/>
    </row>
    <row r="947">
      <c r="H947" s="121"/>
      <c r="O947" s="121"/>
    </row>
    <row r="948">
      <c r="H948" s="121"/>
      <c r="O948" s="121"/>
    </row>
    <row r="949">
      <c r="H949" s="121"/>
      <c r="O949" s="121"/>
    </row>
    <row r="950">
      <c r="H950" s="121"/>
      <c r="O950" s="121"/>
    </row>
    <row r="951">
      <c r="H951" s="121"/>
      <c r="O951" s="121"/>
    </row>
    <row r="952">
      <c r="H952" s="121"/>
      <c r="O952" s="121"/>
    </row>
    <row r="953">
      <c r="H953" s="121"/>
      <c r="O953" s="121"/>
    </row>
    <row r="954">
      <c r="H954" s="121"/>
      <c r="O954" s="121"/>
    </row>
    <row r="955">
      <c r="H955" s="121"/>
      <c r="O955" s="121"/>
    </row>
    <row r="956">
      <c r="H956" s="121"/>
      <c r="O956" s="121"/>
    </row>
    <row r="957">
      <c r="H957" s="121"/>
      <c r="O957" s="121"/>
    </row>
    <row r="958">
      <c r="H958" s="121"/>
      <c r="O958" s="121"/>
    </row>
    <row r="959">
      <c r="H959" s="121"/>
      <c r="O959" s="121"/>
    </row>
    <row r="960">
      <c r="H960" s="121"/>
      <c r="O960" s="121"/>
    </row>
    <row r="961">
      <c r="H961" s="121"/>
      <c r="O961" s="121"/>
    </row>
    <row r="962">
      <c r="H962" s="121"/>
      <c r="O962" s="121"/>
    </row>
    <row r="963">
      <c r="H963" s="121"/>
      <c r="O963" s="121"/>
    </row>
    <row r="964">
      <c r="H964" s="121"/>
      <c r="O964" s="121"/>
    </row>
    <row r="965">
      <c r="H965" s="121"/>
      <c r="O965" s="121"/>
    </row>
    <row r="966">
      <c r="H966" s="121"/>
      <c r="O966" s="121"/>
    </row>
    <row r="967">
      <c r="H967" s="121"/>
      <c r="O967" s="121"/>
    </row>
    <row r="968">
      <c r="H968" s="121"/>
      <c r="O968" s="121"/>
    </row>
    <row r="969">
      <c r="H969" s="121"/>
      <c r="O969" s="121"/>
    </row>
    <row r="970">
      <c r="H970" s="121"/>
      <c r="O970" s="121"/>
    </row>
    <row r="971">
      <c r="H971" s="121"/>
      <c r="O971" s="121"/>
    </row>
    <row r="972">
      <c r="H972" s="121"/>
      <c r="O972" s="121"/>
    </row>
    <row r="973">
      <c r="H973" s="121"/>
      <c r="O973" s="121"/>
    </row>
    <row r="974">
      <c r="H974" s="121"/>
      <c r="O974" s="121"/>
    </row>
    <row r="975">
      <c r="H975" s="121"/>
      <c r="O975" s="121"/>
    </row>
    <row r="976">
      <c r="H976" s="121"/>
      <c r="O976" s="121"/>
    </row>
    <row r="977">
      <c r="H977" s="121"/>
      <c r="O977" s="121"/>
    </row>
    <row r="978">
      <c r="H978" s="121"/>
      <c r="O978" s="121"/>
    </row>
    <row r="979">
      <c r="H979" s="121"/>
      <c r="O979" s="121"/>
    </row>
    <row r="980">
      <c r="H980" s="121"/>
      <c r="O980" s="121"/>
    </row>
    <row r="981">
      <c r="H981" s="121"/>
      <c r="O981" s="121"/>
    </row>
    <row r="982">
      <c r="H982" s="121"/>
      <c r="O982" s="121"/>
    </row>
    <row r="983">
      <c r="H983" s="121"/>
      <c r="O983" s="121"/>
    </row>
    <row r="984">
      <c r="H984" s="121"/>
      <c r="O984" s="121"/>
    </row>
    <row r="985">
      <c r="H985" s="121"/>
      <c r="O985" s="121"/>
    </row>
    <row r="986">
      <c r="H986" s="121"/>
      <c r="O986" s="121"/>
    </row>
    <row r="987">
      <c r="H987" s="121"/>
      <c r="O987" s="121"/>
    </row>
    <row r="988">
      <c r="H988" s="121"/>
      <c r="O988" s="121"/>
    </row>
    <row r="989">
      <c r="H989" s="121"/>
      <c r="O989" s="121"/>
    </row>
    <row r="990">
      <c r="H990" s="121"/>
      <c r="O990" s="121"/>
    </row>
    <row r="991">
      <c r="H991" s="121"/>
      <c r="O991" s="121"/>
    </row>
    <row r="992">
      <c r="H992" s="121"/>
      <c r="O992" s="121"/>
    </row>
    <row r="993">
      <c r="H993" s="121"/>
      <c r="O993" s="121"/>
    </row>
    <row r="994">
      <c r="H994" s="121"/>
      <c r="O994" s="121"/>
    </row>
    <row r="995">
      <c r="H995" s="121"/>
      <c r="O995" s="121"/>
    </row>
    <row r="996">
      <c r="H996" s="121"/>
      <c r="O996" s="121"/>
    </row>
    <row r="997">
      <c r="H997" s="121"/>
      <c r="O997" s="121"/>
    </row>
    <row r="998">
      <c r="H998" s="121"/>
      <c r="O998" s="121"/>
    </row>
    <row r="999">
      <c r="H999" s="121"/>
      <c r="O999" s="121"/>
    </row>
    <row r="1000">
      <c r="H1000" s="121"/>
      <c r="O1000" s="121"/>
    </row>
    <row r="1001">
      <c r="H1001" s="121"/>
      <c r="O1001" s="121"/>
    </row>
    <row r="1002">
      <c r="H1002" s="121"/>
      <c r="O1002" s="121"/>
    </row>
    <row r="1003">
      <c r="H1003" s="121"/>
      <c r="O1003" s="121"/>
    </row>
    <row r="1004">
      <c r="H1004" s="121"/>
      <c r="O1004" s="121"/>
    </row>
    <row r="1005">
      <c r="H1005" s="121"/>
      <c r="O1005" s="121"/>
    </row>
    <row r="1006">
      <c r="H1006" s="121"/>
      <c r="O1006" s="121"/>
    </row>
    <row r="1007">
      <c r="H1007" s="121"/>
      <c r="O1007" s="121"/>
    </row>
    <row r="1008">
      <c r="H1008" s="121"/>
      <c r="O1008" s="121"/>
    </row>
    <row r="1009">
      <c r="H1009" s="121"/>
      <c r="O1009" s="121"/>
    </row>
    <row r="1010">
      <c r="H1010" s="121"/>
      <c r="O1010" s="121"/>
    </row>
    <row r="1011">
      <c r="H1011" s="121"/>
      <c r="O1011" s="121"/>
    </row>
    <row r="1012">
      <c r="H1012" s="121"/>
      <c r="O1012" s="121"/>
    </row>
    <row r="1013">
      <c r="H1013" s="121"/>
      <c r="O1013" s="121"/>
    </row>
    <row r="1014">
      <c r="H1014" s="121"/>
      <c r="O1014" s="121"/>
    </row>
    <row r="1015">
      <c r="H1015" s="121"/>
      <c r="O1015" s="121"/>
    </row>
    <row r="1016">
      <c r="H1016" s="121"/>
      <c r="O1016" s="121"/>
    </row>
    <row r="1017">
      <c r="H1017" s="121"/>
      <c r="O1017" s="121"/>
    </row>
    <row r="1018">
      <c r="H1018" s="121"/>
      <c r="O1018" s="121"/>
    </row>
    <row r="1019">
      <c r="H1019" s="121"/>
      <c r="O1019" s="121"/>
    </row>
    <row r="1020">
      <c r="H1020" s="121"/>
      <c r="O1020" s="121"/>
    </row>
    <row r="1021">
      <c r="H1021" s="121"/>
      <c r="O1021" s="121"/>
    </row>
    <row r="1022">
      <c r="H1022" s="121"/>
      <c r="O1022" s="121"/>
    </row>
    <row r="1023">
      <c r="H1023" s="121"/>
      <c r="O1023" s="121"/>
    </row>
    <row r="1024">
      <c r="H1024" s="121"/>
      <c r="O1024" s="121"/>
    </row>
    <row r="1025">
      <c r="H1025" s="121"/>
      <c r="O1025" s="121"/>
    </row>
    <row r="1026">
      <c r="H1026" s="121"/>
      <c r="O1026" s="121"/>
    </row>
    <row r="1027">
      <c r="H1027" s="121"/>
      <c r="O1027" s="121"/>
    </row>
    <row r="1028">
      <c r="H1028" s="121"/>
      <c r="O1028" s="121"/>
    </row>
    <row r="1029">
      <c r="H1029" s="121"/>
      <c r="O1029" s="121"/>
    </row>
    <row r="1030">
      <c r="H1030" s="121"/>
      <c r="O1030" s="121"/>
    </row>
    <row r="1031">
      <c r="H1031" s="121"/>
      <c r="O1031" s="121"/>
    </row>
    <row r="1032">
      <c r="H1032" s="121"/>
      <c r="O1032" s="121"/>
    </row>
    <row r="1033">
      <c r="H1033" s="121"/>
      <c r="O1033" s="121"/>
    </row>
    <row r="1034">
      <c r="H1034" s="121"/>
      <c r="O1034" s="121"/>
    </row>
    <row r="1035">
      <c r="H1035" s="121"/>
      <c r="O1035" s="121"/>
    </row>
    <row r="1036">
      <c r="H1036" s="121"/>
      <c r="O1036" s="121"/>
    </row>
    <row r="1037">
      <c r="H1037" s="121"/>
      <c r="O1037" s="121"/>
    </row>
    <row r="1038">
      <c r="H1038" s="121"/>
      <c r="O1038" s="121"/>
    </row>
  </sheetData>
  <mergeCells count="261">
    <mergeCell ref="W106:W107"/>
    <mergeCell ref="W108:W109"/>
    <mergeCell ref="W110:W111"/>
    <mergeCell ref="W112:W113"/>
    <mergeCell ref="W114:W115"/>
    <mergeCell ref="W116:W117"/>
    <mergeCell ref="W118:W119"/>
    <mergeCell ref="W120:W121"/>
    <mergeCell ref="W122:W123"/>
    <mergeCell ref="W124:W125"/>
    <mergeCell ref="W126:W127"/>
    <mergeCell ref="W128:W129"/>
    <mergeCell ref="W131:W132"/>
    <mergeCell ref="W133:W134"/>
    <mergeCell ref="V34:V35"/>
    <mergeCell ref="V36:V37"/>
    <mergeCell ref="V38:V39"/>
    <mergeCell ref="V40:V41"/>
    <mergeCell ref="V42:V43"/>
    <mergeCell ref="V44:V45"/>
    <mergeCell ref="V46:V47"/>
    <mergeCell ref="W36:W37"/>
    <mergeCell ref="W38:W39"/>
    <mergeCell ref="W40:W41"/>
    <mergeCell ref="W42:W43"/>
    <mergeCell ref="W44:W45"/>
    <mergeCell ref="W46:W47"/>
    <mergeCell ref="W48:W49"/>
    <mergeCell ref="V70:V71"/>
    <mergeCell ref="V72:V73"/>
    <mergeCell ref="V74:V75"/>
    <mergeCell ref="V76:V77"/>
    <mergeCell ref="V78:V79"/>
    <mergeCell ref="V80:V81"/>
    <mergeCell ref="V82:V83"/>
    <mergeCell ref="W70:W71"/>
    <mergeCell ref="W72:W73"/>
    <mergeCell ref="W74:W75"/>
    <mergeCell ref="W76:W77"/>
    <mergeCell ref="W78:W79"/>
    <mergeCell ref="W80:W81"/>
    <mergeCell ref="W82:W83"/>
    <mergeCell ref="V84:V85"/>
    <mergeCell ref="V86:V87"/>
    <mergeCell ref="V88:V89"/>
    <mergeCell ref="V90:V91"/>
    <mergeCell ref="V92:V93"/>
    <mergeCell ref="V94:V95"/>
    <mergeCell ref="V96:V97"/>
    <mergeCell ref="W84:W85"/>
    <mergeCell ref="W86:W87"/>
    <mergeCell ref="W88:W89"/>
    <mergeCell ref="W90:W91"/>
    <mergeCell ref="W92:W93"/>
    <mergeCell ref="W94:W95"/>
    <mergeCell ref="W96:W97"/>
    <mergeCell ref="W156:W157"/>
    <mergeCell ref="W158:W159"/>
    <mergeCell ref="V2:V3"/>
    <mergeCell ref="V4:V5"/>
    <mergeCell ref="A4:A5"/>
    <mergeCell ref="A6:A7"/>
    <mergeCell ref="A14:A15"/>
    <mergeCell ref="A16:A17"/>
    <mergeCell ref="A18:A19"/>
    <mergeCell ref="A20:A21"/>
    <mergeCell ref="A22:A23"/>
    <mergeCell ref="V6:V7"/>
    <mergeCell ref="W6:W7"/>
    <mergeCell ref="W4:W5"/>
    <mergeCell ref="V8:V9"/>
    <mergeCell ref="W8:W9"/>
    <mergeCell ref="W2:W3"/>
    <mergeCell ref="V10:V11"/>
    <mergeCell ref="W10:W11"/>
    <mergeCell ref="A1:W1"/>
    <mergeCell ref="A2:G2"/>
    <mergeCell ref="H2:N2"/>
    <mergeCell ref="O2:U2"/>
    <mergeCell ref="A8:A9"/>
    <mergeCell ref="A10:A11"/>
    <mergeCell ref="A12:A13"/>
    <mergeCell ref="X2:X14"/>
    <mergeCell ref="V12:V13"/>
    <mergeCell ref="W12:W13"/>
    <mergeCell ref="V14:V15"/>
    <mergeCell ref="W14:W15"/>
    <mergeCell ref="V16:V17"/>
    <mergeCell ref="W16:W17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70:A71"/>
    <mergeCell ref="A72:A73"/>
    <mergeCell ref="A88:A89"/>
    <mergeCell ref="A90:A91"/>
    <mergeCell ref="A92:A93"/>
    <mergeCell ref="A94:A95"/>
    <mergeCell ref="A96:A97"/>
    <mergeCell ref="H98:I98"/>
    <mergeCell ref="H99:H100"/>
    <mergeCell ref="H101:H102"/>
    <mergeCell ref="A74:A75"/>
    <mergeCell ref="A76:A77"/>
    <mergeCell ref="A78:A79"/>
    <mergeCell ref="A80:A81"/>
    <mergeCell ref="A82:A83"/>
    <mergeCell ref="A84:A85"/>
    <mergeCell ref="A86:A87"/>
    <mergeCell ref="A122:A123"/>
    <mergeCell ref="A124:A125"/>
    <mergeCell ref="A126:A127"/>
    <mergeCell ref="A128:A129"/>
    <mergeCell ref="H130:I130"/>
    <mergeCell ref="H131:H132"/>
    <mergeCell ref="H133:H134"/>
    <mergeCell ref="A108:A109"/>
    <mergeCell ref="A110:A111"/>
    <mergeCell ref="A112:A113"/>
    <mergeCell ref="A114:A115"/>
    <mergeCell ref="A116:A117"/>
    <mergeCell ref="A118:A119"/>
    <mergeCell ref="A120:A121"/>
    <mergeCell ref="A154:A155"/>
    <mergeCell ref="A156:A157"/>
    <mergeCell ref="A158:A159"/>
    <mergeCell ref="A160:A161"/>
    <mergeCell ref="A162:A163"/>
    <mergeCell ref="H164:I164"/>
    <mergeCell ref="H165:H166"/>
    <mergeCell ref="H167:H168"/>
    <mergeCell ref="A140:A141"/>
    <mergeCell ref="A142:A143"/>
    <mergeCell ref="A144:A145"/>
    <mergeCell ref="A146:A147"/>
    <mergeCell ref="A148:A149"/>
    <mergeCell ref="A150:A151"/>
    <mergeCell ref="A152:A153"/>
    <mergeCell ref="V61:V62"/>
    <mergeCell ref="W61:W62"/>
    <mergeCell ref="W50:W51"/>
    <mergeCell ref="W52:W53"/>
    <mergeCell ref="W54:W55"/>
    <mergeCell ref="W56:W57"/>
    <mergeCell ref="W58:W59"/>
    <mergeCell ref="O60:P60"/>
    <mergeCell ref="O61:O62"/>
    <mergeCell ref="A105:U105"/>
    <mergeCell ref="A106:G106"/>
    <mergeCell ref="H106:N106"/>
    <mergeCell ref="O106:U106"/>
    <mergeCell ref="O98:P98"/>
    <mergeCell ref="O99:O100"/>
    <mergeCell ref="V99:V100"/>
    <mergeCell ref="W99:W100"/>
    <mergeCell ref="O101:O102"/>
    <mergeCell ref="V101:V102"/>
    <mergeCell ref="W101:W102"/>
    <mergeCell ref="H24:I24"/>
    <mergeCell ref="H25:H26"/>
    <mergeCell ref="H27:H28"/>
    <mergeCell ref="H60:I60"/>
    <mergeCell ref="H61:H62"/>
    <mergeCell ref="H63:H64"/>
    <mergeCell ref="V18:V19"/>
    <mergeCell ref="W18:W19"/>
    <mergeCell ref="V20:V21"/>
    <mergeCell ref="W20:W21"/>
    <mergeCell ref="W22:W23"/>
    <mergeCell ref="O24:P24"/>
    <mergeCell ref="W25:W26"/>
    <mergeCell ref="O25:O26"/>
    <mergeCell ref="O27:O28"/>
    <mergeCell ref="A31:U31"/>
    <mergeCell ref="A32:G32"/>
    <mergeCell ref="H32:N32"/>
    <mergeCell ref="O32:U32"/>
    <mergeCell ref="A34:A35"/>
    <mergeCell ref="V22:V23"/>
    <mergeCell ref="V25:V26"/>
    <mergeCell ref="V27:V28"/>
    <mergeCell ref="W27:W28"/>
    <mergeCell ref="V32:V33"/>
    <mergeCell ref="W32:W33"/>
    <mergeCell ref="W34:W35"/>
    <mergeCell ref="O63:O64"/>
    <mergeCell ref="A67:U67"/>
    <mergeCell ref="A68:G68"/>
    <mergeCell ref="H68:N68"/>
    <mergeCell ref="O68:U68"/>
    <mergeCell ref="V48:V49"/>
    <mergeCell ref="V50:V51"/>
    <mergeCell ref="V52:V53"/>
    <mergeCell ref="V54:V55"/>
    <mergeCell ref="V56:V57"/>
    <mergeCell ref="V58:V59"/>
    <mergeCell ref="V63:V64"/>
    <mergeCell ref="V68:V69"/>
    <mergeCell ref="W63:W64"/>
    <mergeCell ref="W68:W69"/>
    <mergeCell ref="V106:V107"/>
    <mergeCell ref="V108:V109"/>
    <mergeCell ref="V110:V111"/>
    <mergeCell ref="V112:V113"/>
    <mergeCell ref="V114:V115"/>
    <mergeCell ref="V116:V117"/>
    <mergeCell ref="V118:V119"/>
    <mergeCell ref="V133:V134"/>
    <mergeCell ref="O131:O132"/>
    <mergeCell ref="O133:O134"/>
    <mergeCell ref="A137:U137"/>
    <mergeCell ref="A138:G138"/>
    <mergeCell ref="H138:N138"/>
    <mergeCell ref="O138:U138"/>
    <mergeCell ref="V120:V121"/>
    <mergeCell ref="V122:V123"/>
    <mergeCell ref="V124:V125"/>
    <mergeCell ref="V126:V127"/>
    <mergeCell ref="V128:V129"/>
    <mergeCell ref="O130:P130"/>
    <mergeCell ref="V131:V132"/>
    <mergeCell ref="V144:V145"/>
    <mergeCell ref="V146:V147"/>
    <mergeCell ref="V148:V149"/>
    <mergeCell ref="V138:V139"/>
    <mergeCell ref="W138:W139"/>
    <mergeCell ref="V140:V141"/>
    <mergeCell ref="W140:W141"/>
    <mergeCell ref="V142:V143"/>
    <mergeCell ref="W142:W143"/>
    <mergeCell ref="W144:W145"/>
    <mergeCell ref="W146:W147"/>
    <mergeCell ref="W148:W149"/>
    <mergeCell ref="V150:V151"/>
    <mergeCell ref="W150:W151"/>
    <mergeCell ref="V152:V153"/>
    <mergeCell ref="W152:W153"/>
    <mergeCell ref="W154:W155"/>
    <mergeCell ref="O164:P164"/>
    <mergeCell ref="O165:O166"/>
    <mergeCell ref="O167:O168"/>
    <mergeCell ref="V165:V166"/>
    <mergeCell ref="W165:W166"/>
    <mergeCell ref="V167:V168"/>
    <mergeCell ref="W167:W168"/>
    <mergeCell ref="V154:V155"/>
    <mergeCell ref="V156:V157"/>
    <mergeCell ref="V158:V159"/>
    <mergeCell ref="V160:V161"/>
    <mergeCell ref="W160:W161"/>
    <mergeCell ref="V162:V163"/>
    <mergeCell ref="W162:W163"/>
  </mergeCells>
  <drawing r:id="rId1"/>
</worksheet>
</file>